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SLIIT\3rd YEAR\DWBI\"/>
    </mc:Choice>
  </mc:AlternateContent>
  <xr:revisionPtr revIDLastSave="0" documentId="8_{C2A85ACD-C0D0-4907-A5C1-43735046F51D}" xr6:coauthVersionLast="47" xr6:coauthVersionMax="47" xr10:uidLastSave="{00000000-0000-0000-0000-000000000000}"/>
  <bookViews>
    <workbookView xWindow="-108" yWindow="-108" windowWidth="23256" windowHeight="12456" xr2:uid="{38359C6E-EFB0-4902-99F1-33E66A8DAFF3}"/>
  </bookViews>
  <sheets>
    <sheet name="Sheet1" sheetId="1" r:id="rId1"/>
  </sheets>
  <calcPr calcId="191029"/>
  <pivotCaches>
    <pivotCache cacheId="20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3F666D-0524-41BC-A37A-7F9702D125EE}" odcFile="C:\Users\MELLOW\Documents\My Data Sources\MELLOW_MSSQLSERVER1 HealthcareCubeProject Healthcare DW.odc" keepAlive="1" name="MELLOW_MSSQLSERVER1 HealthcareCubeProject Healthcare DW" type="5" refreshedVersion="8" background="1">
    <dbPr connection="Provider=MSOLAP.8;Integrated Security=SSPI;Persist Security Info=True;Initial Catalog=HealthcareCubeProject;Data Source=MELLOW\MSSQLSERVER1;MDX Compatibility=1;Safety Options=2;MDX Missing Member Mode=Error;Update Isolation Level=2" command="Healthcare DW" commandType="1"/>
    <olapPr sendLocale="1" rowDrillCount="1000"/>
  </connection>
</connections>
</file>

<file path=xl/sharedStrings.xml><?xml version="1.0" encoding="utf-8"?>
<sst xmlns="http://schemas.openxmlformats.org/spreadsheetml/2006/main" count="85" uniqueCount="44">
  <si>
    <t>Row Labels</t>
  </si>
  <si>
    <t>2020</t>
  </si>
  <si>
    <t>2021</t>
  </si>
  <si>
    <t>2022</t>
  </si>
  <si>
    <t>2023</t>
  </si>
  <si>
    <t>Grand Total</t>
  </si>
  <si>
    <t>January</t>
  </si>
  <si>
    <t>February</t>
  </si>
  <si>
    <t>March</t>
  </si>
  <si>
    <t>Billing Amount</t>
  </si>
  <si>
    <t>July</t>
  </si>
  <si>
    <t>August</t>
  </si>
  <si>
    <t>September</t>
  </si>
  <si>
    <t>Allergists</t>
  </si>
  <si>
    <t>Anesthesiology</t>
  </si>
  <si>
    <t>Cardiology</t>
  </si>
  <si>
    <t>Critical Care Medicine</t>
  </si>
  <si>
    <t>Dermatology</t>
  </si>
  <si>
    <t>Emergency Medicine</t>
  </si>
  <si>
    <t>Endocrinologist</t>
  </si>
  <si>
    <t>Family Medicine</t>
  </si>
  <si>
    <t>Gastroenterology</t>
  </si>
  <si>
    <t>Geriatrician</t>
  </si>
  <si>
    <t>Hospice and Palliative Care</t>
  </si>
  <si>
    <t>Infectious disease</t>
  </si>
  <si>
    <t>Internists</t>
  </si>
  <si>
    <t>Nephrology</t>
  </si>
  <si>
    <t>Neurology</t>
  </si>
  <si>
    <t>Obstetric Anesthesiologists</t>
  </si>
  <si>
    <t>Oncologist</t>
  </si>
  <si>
    <t>Ophthalmology</t>
  </si>
  <si>
    <t>Otolaryngologists</t>
  </si>
  <si>
    <t>Pediatrics</t>
  </si>
  <si>
    <t>Psychiatry</t>
  </si>
  <si>
    <t>Pulmonologists</t>
  </si>
  <si>
    <t>Radiology</t>
  </si>
  <si>
    <t>Surgery</t>
  </si>
  <si>
    <t>June</t>
  </si>
  <si>
    <t>November</t>
  </si>
  <si>
    <t>December</t>
  </si>
  <si>
    <t>April</t>
  </si>
  <si>
    <t>May</t>
  </si>
  <si>
    <t>October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</si>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</sst>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LLOW" refreshedDate="46114.996103240737" backgroundQuery="1" createdVersion="8" refreshedVersion="8" minRefreshableVersion="3" recordCount="0" supportSubquery="1" supportAdvancedDrill="1" xr:uid="{3AF1C1E5-1CBA-4002-AF2F-61AFC341204A}">
  <cacheSource type="external" connectionId="1"/>
  <cacheFields count="11">
    <cacheField name="[Measures].[Billing Amount]" caption="Billing Amount" numFmtId="0" hierarchy="24" level="32767"/>
    <cacheField name="[Dim Date].[Date Hierarchy].[Year Number]" caption="Year Number" numFmtId="0" level="1">
      <sharedItems count="4">
        <s v="[Dim Date].[Date Hierarchy].[Year Number].&amp;[2020]" c="2020"/>
        <s v="[Dim Date].[Date Hierarchy].[Year Number].&amp;[2021]" c="2021"/>
        <s v="[Dim Date].[Date Hierarchy].[Year Number].&amp;[2022]" c="2022"/>
        <s v="[Dim Date].[Date Hierarchy].[Year Number].&amp;[2023]" c="2023"/>
      </sharedItems>
    </cacheField>
    <cacheField name="[Dim Date].[Date Hierarchy].[Quarter Number]" caption="Quarter Number" numFmtId="0" level="2" mappingCount="1">
      <sharedItems count="4">
        <s v="[Dim Date].[Date Hierarchy].[Quarter Number].&amp;[1]&amp;[2020]" c="2020"/>
        <s v="[Dim Date].[Date Hierarchy].[Quarter Number].&amp;[2]&amp;[2020]" c="2020"/>
        <s v="[Dim Date].[Date Hierarchy].[Quarter Number].&amp;[3]&amp;[2020]" c="2020"/>
        <s v="[Dim Date].[Date Hierarchy].[Quarter Number].&amp;[4]&amp;[2020]" c="2020"/>
      </sharedItems>
      <mpMap v="5"/>
    </cacheField>
    <cacheField name="[Dim Date].[Date Hierarchy].[Month Name]" caption="Month Name" numFmtId="0" level="3">
      <sharedItems containsSemiMixedTypes="0" containsString="0"/>
    </cacheField>
    <cacheField name="[Dim Date].[Date Hierarchy].[Full Date]" caption="Full Date" numFmtId="0" level="4">
      <sharedItems containsSemiMixedTypes="0" containsString="0"/>
    </cacheField>
    <cacheField name="[Dim Date].[Date Hierarchy].[Quarter Number].[Year Number]" caption="Year Number" propertyName="Year Number" numFmtId="0" level="2" memberPropertyField="1">
      <sharedItems containsSemiMixedTypes="0" containsString="0" containsNumber="1" containsInteger="1" minValue="2020" maxValue="2020" count="1">
        <n v="2020"/>
      </sharedItems>
    </cacheField>
    <cacheField name="[Dim Date].[Date Hierarchy].[Month Name].[Quarter Number]" caption="Quarter Number" propertyName="Quarter Number" numFmtId="0" level="3" memberPropertyField="1">
      <sharedItems containsSemiMixedTypes="0" containsString="0"/>
    </cacheField>
    <cacheField name="[Dim Date].[Date Hierarchy].[Full Date].[Month Name]" caption="Month Name" propertyName="Month Name" numFmtId="0" level="4" memberPropertyField="1">
      <sharedItems containsSemiMixedTypes="0" containsString="0"/>
    </cacheField>
    <cacheField name="[Dim Date].[Month Name].[Month Name]" caption="Month Name" numFmtId="0" hierarchy="3" level="1" mappingCount="1">
      <sharedItems count="48">
        <s v="[Dim Date].[Month Name].&amp;[2020]&amp;[1]" c="January"/>
        <s v="[Dim Date].[Month Name].&amp;[2020]&amp;[2]" c="February"/>
        <s v="[Dim Date].[Month Name].&amp;[2020]&amp;[3]" c="March"/>
        <s v="[Dim Date].[Month Name].&amp;[2020]&amp;[4]" c="April"/>
        <s v="[Dim Date].[Month Name].&amp;[2020]&amp;[5]" c="May"/>
        <s v="[Dim Date].[Month Name].&amp;[2020]&amp;[6]" c="June"/>
        <s v="[Dim Date].[Month Name].&amp;[2020]&amp;[7]" c="July"/>
        <s v="[Dim Date].[Month Name].&amp;[2020]&amp;[8]" c="August"/>
        <s v="[Dim Date].[Month Name].&amp;[2020]&amp;[9]" c="September"/>
        <s v="[Dim Date].[Month Name].&amp;[2020]&amp;[10]" c="October"/>
        <s v="[Dim Date].[Month Name].&amp;[2020]&amp;[11]" c="November"/>
        <s v="[Dim Date].[Month Name].&amp;[2020]&amp;[12]" c="December"/>
        <s v="[Dim Date].[Month Name].&amp;[2021]&amp;[1]" c="January"/>
        <s v="[Dim Date].[Month Name].&amp;[2021]&amp;[2]" c="February"/>
        <s v="[Dim Date].[Month Name].&amp;[2021]&amp;[3]" c="March"/>
        <s v="[Dim Date].[Month Name].&amp;[2021]&amp;[4]" c="April"/>
        <s v="[Dim Date].[Month Name].&amp;[2021]&amp;[5]" c="May"/>
        <s v="[Dim Date].[Month Name].&amp;[2021]&amp;[6]" c="June"/>
        <s v="[Dim Date].[Month Name].&amp;[2021]&amp;[7]" c="July"/>
        <s v="[Dim Date].[Month Name].&amp;[2021]&amp;[8]" c="August"/>
        <s v="[Dim Date].[Month Name].&amp;[2021]&amp;[9]" c="September"/>
        <s v="[Dim Date].[Month Name].&amp;[2021]&amp;[10]" c="October"/>
        <s v="[Dim Date].[Month Name].&amp;[2021]&amp;[11]" c="November"/>
        <s v="[Dim Date].[Month Name].&amp;[2021]&amp;[12]" c="December"/>
        <s v="[Dim Date].[Month Name].&amp;[2022]&amp;[1]" c="January"/>
        <s v="[Dim Date].[Month Name].&amp;[2022]&amp;[2]" c="February"/>
        <s v="[Dim Date].[Month Name].&amp;[2022]&amp;[3]" c="March"/>
        <s v="[Dim Date].[Month Name].&amp;[2022]&amp;[4]" c="April"/>
        <s v="[Dim Date].[Month Name].&amp;[2022]&amp;[5]" c="May"/>
        <s v="[Dim Date].[Month Name].&amp;[2022]&amp;[6]" c="June"/>
        <s v="[Dim Date].[Month Name].&amp;[2022]&amp;[7]" c="July"/>
        <s v="[Dim Date].[Month Name].&amp;[2022]&amp;[8]" c="August"/>
        <s v="[Dim Date].[Month Name].&amp;[2022]&amp;[9]" c="September"/>
        <s v="[Dim Date].[Month Name].&amp;[2022]&amp;[10]" c="October"/>
        <s v="[Dim Date].[Month Name].&amp;[2022]&amp;[11]" c="November"/>
        <s v="[Dim Date].[Month Name].&amp;[2022]&amp;[12]" c="December"/>
        <s v="[Dim Date].[Month Name].&amp;[2023]&amp;[1]" c="January"/>
        <s v="[Dim Date].[Month Name].&amp;[2023]&amp;[2]" c="February"/>
        <s v="[Dim Date].[Month Name].&amp;[2023]&amp;[3]" c="March"/>
        <s v="[Dim Date].[Month Name].&amp;[2023]&amp;[4]" c="April"/>
        <s v="[Dim Date].[Month Name].&amp;[2023]&amp;[5]" c="May"/>
        <s v="[Dim Date].[Month Name].&amp;[2023]&amp;[6]" c="June"/>
        <s v="[Dim Date].[Month Name].&amp;[2023]&amp;[7]" c="July"/>
        <s v="[Dim Date].[Month Name].&amp;[2023]&amp;[8]" c="August"/>
        <s v="[Dim Date].[Month Name].&amp;[2023]&amp;[9]" c="September"/>
        <s v="[Dim Date].[Month Name].&amp;[2023]&amp;[10]" c="October"/>
        <s v="[Dim Date].[Month Name].&amp;[2023]&amp;[11]" c="November"/>
        <s v="[Dim Date].[Month Name].&amp;[2023]&amp;[12]" c="December"/>
      </sharedItems>
      <mpMap v="9"/>
    </cacheField>
    <cacheField name="[Dim Date].[Month Name].[Month Name].[Quarter Number]" caption="Quarter Number" propertyName="Quarter Number" numFmtId="0" hierarchy="3" level="1" memberPropertyField="1">
      <sharedItems count="4">
        <s v="2020"/>
        <s v="2021"/>
        <s v="2022"/>
        <s v="2023"/>
      </sharedItems>
    </cacheField>
    <cacheField name="[Dim Doctor].[Specialization].[Specialization]" caption="Specialization" numFmtId="0" hierarchy="11" level="1">
      <sharedItems count="24">
        <s v="[Dim Doctor].[Specialization].&amp;[Allergists]" c="Allergists"/>
        <s v="[Dim Doctor].[Specialization].&amp;[Anesthesiology]" c="Anesthesiology"/>
        <s v="[Dim Doctor].[Specialization].&amp;[Cardiology]" c="Cardiology"/>
        <s v="[Dim Doctor].[Specialization].&amp;[Critical Care Medicine]" c="Critical Care Medicine"/>
        <s v="[Dim Doctor].[Specialization].&amp;[Dermatology]" c="Dermatology"/>
        <s v="[Dim Doctor].[Specialization].&amp;[Emergency Medicine]" c="Emergency Medicine"/>
        <s v="[Dim Doctor].[Specialization].&amp;[Endocrinologist]" c="Endocrinologist"/>
        <s v="[Dim Doctor].[Specialization].&amp;[Family Medicine]" c="Family Medicine"/>
        <s v="[Dim Doctor].[Specialization].&amp;[Gastroenterology]" c="Gastroenterology"/>
        <s v="[Dim Doctor].[Specialization].&amp;[Geriatrician]" c="Geriatrician"/>
        <s v="[Dim Doctor].[Specialization].&amp;[Hospice and Palliative Care]" c="Hospice and Palliative Care"/>
        <s v="[Dim Doctor].[Specialization].&amp;[Infectious disease]" c="Infectious disease"/>
        <s v="[Dim Doctor].[Specialization].&amp;[Internists]" c="Internists"/>
        <s v="[Dim Doctor].[Specialization].&amp;[Nephrology]" c="Nephrology"/>
        <s v="[Dim Doctor].[Specialization].&amp;[Neurology]" c="Neurology"/>
        <s v="[Dim Doctor].[Specialization].&amp;[Obstetric Anesthesiologists]" c="Obstetric Anesthesiologists"/>
        <s v="[Dim Doctor].[Specialization].&amp;[Oncologist]" c="Oncologist"/>
        <s v="[Dim Doctor].[Specialization].&amp;[Ophthalmology]" c="Ophthalmology"/>
        <s v="[Dim Doctor].[Specialization].&amp;[Otolaryngologists]" c="Otolaryngologists"/>
        <s v="[Dim Doctor].[Specialization].&amp;[Pediatrics]" c="Pediatrics"/>
        <s v="[Dim Doctor].[Specialization].&amp;[Psychiatry]" c="Psychiatry"/>
        <s v="[Dim Doctor].[Specialization].&amp;[Pulmonologists]" c="Pulmonologists"/>
        <s v="[Dim Doctor].[Specialization].&amp;[Radiology]" c="Radiology"/>
        <s v="[Dim Doctor].[Specialization].&amp;[Surgery]" c="Surgery"/>
      </sharedItems>
    </cacheField>
  </cacheFields>
  <cacheHierarchies count="27"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2" unbalanced="0"/>
    <cacheHierarchy uniqueName="[Dim Date].[Month Name]" caption="Month Name" attribute="1" defaultMemberUniqueName="[Dim Date].[Month Name].[All]" allUniqueName="[Dim Date].[Month Name].[All]" dimensionUniqueName="[Dim Date]" displayFolder="" count="2" unbalanced="0">
      <fieldsUsage count="2">
        <fieldUsage x="-1"/>
        <fieldUsage x="8"/>
      </fieldsUsage>
    </cacheHierarchy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0" unbalanced="0"/>
    <cacheHierarchy uniqueName="[Dim Doctor].[Doctor Contact]" caption="Doctor Contact" attribute="1" defaultMemberUniqueName="[Dim Doctor].[Doctor Contact].[All]" allUniqueName="[Dim Doctor].[Doctor Contact].[All]" dimensionUniqueName="[Dim Doctor]" displayFolder="" count="0" unbalanced="0"/>
    <cacheHierarchy uniqueName="[Dim Doctor].[Doctor ID]" caption="Doctor ID" attribute="1" defaultMemberUniqueName="[Dim Doctor].[Doctor ID].[All]" allUniqueName="[Dim Doctor].[Doctor ID].[All]" dimensionUniqueName="[Dim Doctor]" displayFolder="" count="2" unbalanced="0"/>
    <cacheHierarchy uniqueName="[Dim Doctor].[Doctor Key]" caption="Doctor Key" attribute="1" keyAttribute="1" defaultMemberUniqueName="[Dim Doctor].[Doctor Key].[All]" allUniqueName="[Dim Doctor].[Doctor Key].[All]" dimensionUniqueName="[Dim Doctor]" displayFolder="" count="0" unbalanced="0"/>
    <cacheHierarchy uniqueName="[Dim Doctor].[Doctor Name]" caption="Doctor Name" attribute="1" defaultMemberUniqueName="[Dim Doctor].[Doctor Name].[All]" allUniqueName="[Dim Doctor].[Doctor Name].[All]" dimensionUniqueName="[Dim Doctor]" displayFolder="" count="2" unbalanced="0"/>
    <cacheHierarchy uniqueName="[Dim Doctor].[Specialization]" caption="Specialization" attribute="1" defaultMemberUniqueName="[Dim Doctor].[Specialization].[All]" allUniqueName="[Dim Doctor].[Specialization].[All]" dimensionUniqueName="[Dim Doctor]" displayFolder="" count="2" unbalanced="0">
      <fieldsUsage count="2">
        <fieldUsage x="-1"/>
        <fieldUsage x="10"/>
      </fieldsUsage>
    </cacheHierarchy>
    <cacheHierarchy uniqueName="[Dim Patient].[Email]" caption="Email" attribute="1" defaultMemberUniqueName="[Dim Patient].[Email].[All]" allUniqueName="[Dim Patient].[Email].[All]" dimensionUniqueName="[Dim Patient]" displayFolder="" count="0" unbalanced="0"/>
    <cacheHierarchy uniqueName="[Dim Patient].[First Name]" caption="First Name" attribute="1" defaultMemberUniqueName="[Dim Patient].[First Name].[All]" allUniqueName="[Dim Patient].[First Name].[All]" dimensionUniqueName="[Dim Patient]" displayFolder="" count="0" unbalanced="0"/>
    <cacheHierarchy uniqueName="[Dim Patient].[Is Current]" caption="Is Current" attribute="1" defaultMemberUniqueName="[Dim Patient].[Is Current].[All]" allUniqueName="[Dim Patient].[Is Current].[All]" dimensionUniqueName="[Dim Patient]" displayFolder="" count="0" unbalanced="0"/>
    <cacheHierarchy uniqueName="[Dim Patient].[Last Name]" caption="Last Name" attribute="1" defaultMemberUniqueName="[Dim Patient].[Last Name].[All]" allUniqueName="[Dim Patient].[Last Name].[All]" dimensionUniqueName="[Dim Patient]" displayFolder="" count="0" unbalanced="0"/>
    <cacheHierarchy uniqueName="[Dim Patient].[Patient Category]" caption="Patient Category" attribute="1" defaultMemberUniqueName="[Dim Patient].[Patient Category].[All]" allUniqueName="[Dim Patient].[Patient Category].[All]" dimensionUniqueName="[Dim Patient]" displayFolder="" count="0" unbalanced="0"/>
    <cacheHierarchy uniqueName="[Dim Patient].[Patient ID]" caption="Patient ID" attribute="1" defaultMemberUniqueName="[Dim Patient].[Patient ID].[All]" allUniqueName="[Dim Patient].[Patient ID].[All]" dimensionUniqueName="[Dim Patient]" displayFolder="" count="0" unbalanced="0"/>
    <cacheHierarchy uniqueName="[Dim Patient].[Patient Key]" caption="Patient Key" attribute="1" keyAttribute="1" defaultMemberUniqueName="[Dim Patient].[Patient Key].[All]" allUniqueName="[Dim Patient].[Patient Key].[All]" dimensionUniqueName="[Dim Patient]" displayFolder="" count="0" unbalanced="0"/>
    <cacheHierarchy uniqueName="[Dim Procedure].[Procedure Category]" caption="Procedure Category" attribute="1" defaultMemberUniqueName="[Dim Procedure].[Procedure Category].[All]" allUniqueName="[Dim Procedure].[Procedure Category].[All]" dimensionUniqueName="[Dim Procedure]" displayFolder="" count="2" unbalanced="0"/>
    <cacheHierarchy uniqueName="[Dim Procedure].[Procedure Hierarchy]" caption="Procedure Hierarchy" defaultMemberUniqueName="[Dim Procedure].[Procedure Hierarchy].[All]" allUniqueName="[Dim Procedure].[Procedure Hierarchy].[All]" dimensionUniqueName="[Dim Procedure]" displayFolder="" count="0" unbalanced="0"/>
    <cacheHierarchy uniqueName="[Dim Procedure].[Procedure ID]" caption="Procedure ID" attribute="1" defaultMemberUniqueName="[Dim Procedure].[Procedure ID].[All]" allUniqueName="[Dim Procedure].[Procedure ID].[All]" dimensionUniqueName="[Dim Procedure]" displayFolder="" count="0" unbalanced="0"/>
    <cacheHierarchy uniqueName="[Dim Procedure].[Procedure Key]" caption="Procedure Key" attribute="1" keyAttribute="1" defaultMemberUniqueName="[Dim Procedure].[Procedure Key].[All]" allUniqueName="[Dim Procedure].[Procedure Key].[All]" dimensionUniqueName="[Dim Procedure]" displayFolder="" count="0" unbalanced="0"/>
    <cacheHierarchy uniqueName="[Dim Procedure].[Procedure Name]" caption="Procedure Name" attribute="1" defaultMemberUniqueName="[Dim Procedure].[Procedure Name].[All]" allUniqueName="[Dim Procedure].[Procedure Name].[All]" dimensionUniqueName="[Dim Procedure]" displayFolder="" count="0" unbalanced="0"/>
    <cacheHierarchy uniqueName="[Measures].[Billing Amount]" caption="Billing Amount" measure="1" displayFolder="" measureGroup="Fact Healthcare Appointment" count="0" oneField="1">
      <fieldsUsage count="1">
        <fieldUsage x="0"/>
      </fieldsUsage>
    </cacheHierarchy>
    <cacheHierarchy uniqueName="[Measures].[Appointment Count]" caption="Appointment Count" measure="1" displayFolder="" measureGroup="Fact Healthcare Appointment" count="0"/>
    <cacheHierarchy uniqueName="[Measures].[Procedure Count]" caption="Procedure Count" measure="1" displayFolder="" measureGroup="Fact Healthcare Appointment" count="0"/>
  </cacheHierarchies>
  <kpis count="0"/>
  <dimensions count="5">
    <dimension name="Dim Date" uniqueName="[Dim Date]" caption="Dim Date"/>
    <dimension name="Dim Doctor" uniqueName="[Dim Doctor]" caption="Dim Doctor"/>
    <dimension name="Dim Patient" uniqueName="[Dim Patient]" caption="Dim Patient"/>
    <dimension name="Dim Procedure" uniqueName="[Dim Procedure]" caption="Dim Procedure"/>
    <dimension measure="1" name="Measures" uniqueName="[Measures]" caption="Measures"/>
  </dimensions>
  <measureGroups count="1">
    <measureGroup name="Fact Healthcare Appointment" caption="Fact Healthcare Appointment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8DBE24-75BA-4B2F-9333-E7BD6B42ACE9}" name="PivotTable1" cacheId="2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Z59" firstHeaderRow="1" firstDataRow="2" firstDataCol="1"/>
  <pivotFields count="11">
    <pivotField dataField="1" subtotalTop="0" showAll="0" defaultSubtotal="0"/>
    <pivotField axis="axisRow" allDrilled="1" subtotalTop="0" showAll="0" dataSourceSort="1" defaultSubtotal="0">
      <items count="4">
        <item c="1" x="0" d="1"/>
        <item c="1" x="1"/>
        <item c="1" x="2"/>
        <item c="1" x="3"/>
      </items>
    </pivotField>
    <pivotField axis="axisRow" subtotalTop="0" showAll="0" dataSourceSort="1" defaultSubtotal="0">
      <items count="4">
        <item c="1" x="0"/>
        <item c="1" x="1"/>
        <item c="1" x="2"/>
        <item c="1" x="3"/>
      </items>
    </pivotField>
    <pivotField axis="axisRow" subtotalTop="0" showAll="0" dataSourceSort="1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axis="axisRow" allDrilled="1" subtotalTop="0" showAll="0" dataSourceSort="1" defaultSubtotal="0" defaultAttributeDrillState="1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subtotalTop="0" showAll="0" dataSourceSort="1" defaultSubtotal="0" showPropTip="1"/>
    <pivotField axis="axisCol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</pivotFields>
  <rowFields count="3">
    <field x="1"/>
    <field x="2"/>
    <field x="8"/>
  </rowFields>
  <rowItems count="57">
    <i>
      <x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>
      <x v="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>
      <x v="2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>
      <x v="3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t="grand">
      <x/>
    </i>
  </rowItems>
  <colFields count="1">
    <field x="10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fld="0" baseField="0" baseItem="0"/>
  </dataFields>
  <pivotHierarchies count="27">
    <pivotHierarchy>
      <mps count="3">
        <mp field="5"/>
        <mp field="6"/>
        <mp field="7"/>
      </mps>
    </pivotHierarchy>
    <pivotHierarchy/>
    <pivotHierarchy/>
    <pivotHierarchy>
      <mps count="1"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3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27852-52FE-4BAB-B86A-DB11FE43BB1D}">
  <dimension ref="A1:Z59"/>
  <sheetViews>
    <sheetView tabSelected="1" workbookViewId="0">
      <selection activeCell="A3" sqref="A3:Z3"/>
      <pivotSelection pane="bottomRight" showHeader="1" extendable="1" max="268" activeRow="3" click="1" r:id="rId1">
        <pivotArea dataOnly="0" fieldPosition="0">
          <references count="1">
            <reference field="1" count="1">
              <x v="0"/>
            </reference>
          </references>
        </pivotArea>
      </pivotSelection>
    </sheetView>
  </sheetViews>
  <sheetFormatPr defaultRowHeight="14.4" x14ac:dyDescent="0.3"/>
  <cols>
    <col min="1" max="1" width="14.33203125" bestFit="1" customWidth="1"/>
    <col min="2" max="2" width="15.5546875" bestFit="1" customWidth="1"/>
    <col min="3" max="3" width="13.5546875" bestFit="1" customWidth="1"/>
    <col min="4" max="4" width="9.88671875" bestFit="1" customWidth="1"/>
    <col min="5" max="5" width="19.6640625" bestFit="1" customWidth="1"/>
    <col min="6" max="6" width="11.5546875" bestFit="1" customWidth="1"/>
    <col min="7" max="7" width="18.33203125" bestFit="1" customWidth="1"/>
    <col min="8" max="8" width="14" bestFit="1" customWidth="1"/>
    <col min="9" max="9" width="14.77734375" bestFit="1" customWidth="1"/>
    <col min="10" max="10" width="15.33203125" bestFit="1" customWidth="1"/>
    <col min="11" max="11" width="11" bestFit="1" customWidth="1"/>
    <col min="12" max="12" width="24.109375" bestFit="1" customWidth="1"/>
    <col min="13" max="13" width="16.109375" bestFit="1" customWidth="1"/>
    <col min="14" max="14" width="8.88671875" bestFit="1" customWidth="1"/>
    <col min="15" max="15" width="10.44140625" bestFit="1" customWidth="1"/>
    <col min="16" max="16" width="9.33203125" bestFit="1" customWidth="1"/>
    <col min="17" max="17" width="24.109375" bestFit="1" customWidth="1"/>
    <col min="18" max="18" width="9.88671875" bestFit="1" customWidth="1"/>
    <col min="19" max="19" width="13.77734375" bestFit="1" customWidth="1"/>
    <col min="20" max="20" width="15.5546875" bestFit="1" customWidth="1"/>
    <col min="21" max="21" width="9.5546875" bestFit="1" customWidth="1"/>
    <col min="22" max="22" width="9.6640625" bestFit="1" customWidth="1"/>
    <col min="23" max="23" width="13.88671875" bestFit="1" customWidth="1"/>
    <col min="24" max="24" width="9.109375" bestFit="1" customWidth="1"/>
    <col min="25" max="25" width="9" bestFit="1" customWidth="1"/>
    <col min="26" max="26" width="10.5546875" bestFit="1" customWidth="1"/>
    <col min="27" max="27" width="8.33203125" bestFit="1" customWidth="1"/>
    <col min="28" max="28" width="8" bestFit="1" customWidth="1"/>
    <col min="29" max="29" width="9" bestFit="1" customWidth="1"/>
    <col min="30" max="31" width="8" bestFit="1" customWidth="1"/>
    <col min="32" max="32" width="9" bestFit="1" customWidth="1"/>
    <col min="33" max="33" width="8" bestFit="1" customWidth="1"/>
    <col min="34" max="34" width="10.33203125" bestFit="1" customWidth="1"/>
    <col min="35" max="35" width="8" bestFit="1" customWidth="1"/>
    <col min="36" max="37" width="9.6640625" bestFit="1" customWidth="1"/>
    <col min="38" max="38" width="8" bestFit="1" customWidth="1"/>
    <col min="39" max="39" width="8.33203125" bestFit="1" customWidth="1"/>
    <col min="40" max="44" width="8" bestFit="1" customWidth="1"/>
    <col min="45" max="45" width="9" bestFit="1" customWidth="1"/>
    <col min="46" max="46" width="10.33203125" bestFit="1" customWidth="1"/>
    <col min="47" max="47" width="9" bestFit="1" customWidth="1"/>
    <col min="48" max="49" width="9.6640625" bestFit="1" customWidth="1"/>
    <col min="50" max="50" width="10.5546875" bestFit="1" customWidth="1"/>
    <col min="51" max="51" width="8.33203125" bestFit="1" customWidth="1"/>
    <col min="52" max="52" width="5" bestFit="1" customWidth="1"/>
    <col min="53" max="53" width="4.109375" bestFit="1" customWidth="1"/>
    <col min="54" max="54" width="10.33203125" bestFit="1" customWidth="1"/>
    <col min="55" max="55" width="7.77734375" bestFit="1" customWidth="1"/>
    <col min="56" max="56" width="4.33203125" bestFit="1" customWidth="1"/>
    <col min="57" max="57" width="9.6640625" bestFit="1" customWidth="1"/>
    <col min="58" max="58" width="8" bestFit="1" customWidth="1"/>
    <col min="59" max="59" width="10.33203125" bestFit="1" customWidth="1"/>
    <col min="60" max="60" width="20" bestFit="1" customWidth="1"/>
    <col min="61" max="61" width="8" bestFit="1" customWidth="1"/>
    <col min="62" max="62" width="9.6640625" bestFit="1" customWidth="1"/>
    <col min="63" max="64" width="7" bestFit="1" customWidth="1"/>
    <col min="65" max="65" width="7.77734375" bestFit="1" customWidth="1"/>
    <col min="66" max="66" width="7" bestFit="1" customWidth="1"/>
    <col min="67" max="67" width="8" bestFit="1" customWidth="1"/>
    <col min="68" max="68" width="9.6640625" bestFit="1" customWidth="1"/>
    <col min="69" max="70" width="8" bestFit="1" customWidth="1"/>
    <col min="71" max="71" width="15.6640625" bestFit="1" customWidth="1"/>
    <col min="72" max="72" width="9.6640625" bestFit="1" customWidth="1"/>
    <col min="73" max="73" width="7.21875" bestFit="1" customWidth="1"/>
    <col min="74" max="74" width="8" bestFit="1" customWidth="1"/>
    <col min="75" max="75" width="9.6640625" bestFit="1" customWidth="1"/>
    <col min="76" max="76" width="4.6640625" bestFit="1" customWidth="1"/>
    <col min="77" max="77" width="8" bestFit="1" customWidth="1"/>
    <col min="78" max="78" width="10.33203125" bestFit="1" customWidth="1"/>
    <col min="79" max="79" width="7.77734375" bestFit="1" customWidth="1"/>
    <col min="80" max="80" width="9.6640625" bestFit="1" customWidth="1"/>
    <col min="81" max="81" width="16.44140625" bestFit="1" customWidth="1"/>
    <col min="82" max="82" width="5" bestFit="1" customWidth="1"/>
    <col min="83" max="83" width="9.6640625" bestFit="1" customWidth="1"/>
    <col min="84" max="85" width="8" bestFit="1" customWidth="1"/>
    <col min="86" max="86" width="9.6640625" bestFit="1" customWidth="1"/>
    <col min="87" max="87" width="7.21875" bestFit="1" customWidth="1"/>
    <col min="88" max="90" width="8" bestFit="1" customWidth="1"/>
    <col min="91" max="91" width="17" bestFit="1" customWidth="1"/>
    <col min="92" max="92" width="4.33203125" bestFit="1" customWidth="1"/>
    <col min="93" max="96" width="8" bestFit="1" customWidth="1"/>
    <col min="97" max="97" width="8.33203125" bestFit="1" customWidth="1"/>
    <col min="98" max="98" width="5" bestFit="1" customWidth="1"/>
    <col min="99" max="101" width="8" bestFit="1" customWidth="1"/>
    <col min="102" max="102" width="12.6640625" bestFit="1" customWidth="1"/>
    <col min="103" max="103" width="6.5546875" bestFit="1" customWidth="1"/>
    <col min="104" max="104" width="9.6640625" bestFit="1" customWidth="1"/>
    <col min="105" max="105" width="8" bestFit="1" customWidth="1"/>
    <col min="106" max="106" width="4.6640625" bestFit="1" customWidth="1"/>
    <col min="107" max="107" width="5" bestFit="1" customWidth="1"/>
    <col min="108" max="108" width="8" bestFit="1" customWidth="1"/>
    <col min="109" max="109" width="8.33203125" bestFit="1" customWidth="1"/>
    <col min="110" max="110" width="6.109375" bestFit="1" customWidth="1"/>
    <col min="111" max="111" width="4.109375" bestFit="1" customWidth="1"/>
    <col min="112" max="112" width="7.77734375" bestFit="1" customWidth="1"/>
    <col min="113" max="113" width="25.77734375" bestFit="1" customWidth="1"/>
    <col min="114" max="114" width="8" bestFit="1" customWidth="1"/>
    <col min="115" max="115" width="8.33203125" bestFit="1" customWidth="1"/>
    <col min="116" max="116" width="7.21875" bestFit="1" customWidth="1"/>
    <col min="117" max="117" width="17.77734375" bestFit="1" customWidth="1"/>
    <col min="118" max="118" width="8" bestFit="1" customWidth="1"/>
    <col min="119" max="119" width="7" bestFit="1" customWidth="1"/>
    <col min="120" max="120" width="7.21875" bestFit="1" customWidth="1"/>
    <col min="121" max="121" width="8" bestFit="1" customWidth="1"/>
    <col min="122" max="122" width="7" bestFit="1" customWidth="1"/>
    <col min="123" max="123" width="9.6640625" bestFit="1" customWidth="1"/>
    <col min="124" max="124" width="8" bestFit="1" customWidth="1"/>
    <col min="125" max="126" width="7" bestFit="1" customWidth="1"/>
    <col min="127" max="127" width="9.6640625" bestFit="1" customWidth="1"/>
    <col min="128" max="128" width="7.21875" bestFit="1" customWidth="1"/>
    <col min="129" max="129" width="6.109375" bestFit="1" customWidth="1"/>
    <col min="130" max="130" width="7" bestFit="1" customWidth="1"/>
    <col min="131" max="131" width="10.33203125" bestFit="1" customWidth="1"/>
    <col min="132" max="132" width="9.6640625" bestFit="1" customWidth="1"/>
    <col min="133" max="133" width="10.5546875" bestFit="1" customWidth="1"/>
    <col min="134" max="134" width="7" bestFit="1" customWidth="1"/>
    <col min="135" max="135" width="8" bestFit="1" customWidth="1"/>
    <col min="136" max="136" width="9.6640625" bestFit="1" customWidth="1"/>
    <col min="137" max="137" width="7.21875" bestFit="1" customWidth="1"/>
    <col min="138" max="138" width="4.33203125" bestFit="1" customWidth="1"/>
    <col min="139" max="139" width="4.6640625" bestFit="1" customWidth="1"/>
    <col min="140" max="140" width="9.6640625" bestFit="1" customWidth="1"/>
    <col min="141" max="142" width="8" bestFit="1" customWidth="1"/>
    <col min="143" max="143" width="12.109375" bestFit="1" customWidth="1"/>
    <col min="144" max="144" width="9.6640625" bestFit="1" customWidth="1"/>
    <col min="145" max="145" width="7.21875" bestFit="1" customWidth="1"/>
    <col min="146" max="146" width="8" bestFit="1" customWidth="1"/>
    <col min="147" max="147" width="10.33203125" bestFit="1" customWidth="1"/>
    <col min="148" max="148" width="8.33203125" bestFit="1" customWidth="1"/>
    <col min="149" max="149" width="8" bestFit="1" customWidth="1"/>
    <col min="150" max="150" width="7" bestFit="1" customWidth="1"/>
    <col min="151" max="151" width="11" bestFit="1" customWidth="1"/>
    <col min="152" max="153" width="8" bestFit="1" customWidth="1"/>
    <col min="154" max="154" width="9.6640625" bestFit="1" customWidth="1"/>
    <col min="155" max="155" width="8" bestFit="1" customWidth="1"/>
    <col min="156" max="156" width="6.5546875" bestFit="1" customWidth="1"/>
    <col min="157" max="157" width="8" bestFit="1" customWidth="1"/>
    <col min="158" max="158" width="7" bestFit="1" customWidth="1"/>
    <col min="159" max="159" width="9.6640625" bestFit="1" customWidth="1"/>
    <col min="160" max="160" width="25.77734375" bestFit="1" customWidth="1"/>
    <col min="161" max="161" width="7" bestFit="1" customWidth="1"/>
    <col min="162" max="162" width="10.33203125" bestFit="1" customWidth="1"/>
    <col min="163" max="164" width="9.6640625" bestFit="1" customWidth="1"/>
    <col min="165" max="167" width="8" bestFit="1" customWidth="1"/>
    <col min="168" max="168" width="9.6640625" bestFit="1" customWidth="1"/>
    <col min="169" max="169" width="8" bestFit="1" customWidth="1"/>
    <col min="170" max="170" width="4.33203125" bestFit="1" customWidth="1"/>
    <col min="171" max="171" width="7" bestFit="1" customWidth="1"/>
    <col min="172" max="172" width="10.33203125" bestFit="1" customWidth="1"/>
    <col min="173" max="173" width="9.6640625" bestFit="1" customWidth="1"/>
    <col min="174" max="174" width="11.5546875" bestFit="1" customWidth="1"/>
    <col min="175" max="175" width="8" bestFit="1" customWidth="1"/>
    <col min="176" max="176" width="7" bestFit="1" customWidth="1"/>
    <col min="177" max="177" width="7.21875" bestFit="1" customWidth="1"/>
    <col min="178" max="178" width="8" bestFit="1" customWidth="1"/>
    <col min="179" max="179" width="7" bestFit="1" customWidth="1"/>
    <col min="180" max="180" width="7.77734375" bestFit="1" customWidth="1"/>
    <col min="181" max="182" width="9.6640625" bestFit="1" customWidth="1"/>
    <col min="183" max="183" width="4.109375" bestFit="1" customWidth="1"/>
    <col min="184" max="184" width="10.33203125" bestFit="1" customWidth="1"/>
    <col min="185" max="185" width="7.77734375" bestFit="1" customWidth="1"/>
    <col min="186" max="187" width="9.6640625" bestFit="1" customWidth="1"/>
    <col min="188" max="188" width="15.44140625" bestFit="1" customWidth="1"/>
    <col min="189" max="189" width="8.33203125" bestFit="1" customWidth="1"/>
    <col min="190" max="190" width="7" bestFit="1" customWidth="1"/>
    <col min="191" max="191" width="4.6640625" bestFit="1" customWidth="1"/>
    <col min="192" max="192" width="9.6640625" bestFit="1" customWidth="1"/>
    <col min="193" max="193" width="6.5546875" bestFit="1" customWidth="1"/>
    <col min="194" max="194" width="5" bestFit="1" customWidth="1"/>
    <col min="195" max="195" width="4.6640625" bestFit="1" customWidth="1"/>
    <col min="196" max="196" width="10.33203125" bestFit="1" customWidth="1"/>
    <col min="197" max="197" width="9.6640625" bestFit="1" customWidth="1"/>
    <col min="198" max="198" width="8.33203125" bestFit="1" customWidth="1"/>
    <col min="199" max="200" width="8" bestFit="1" customWidth="1"/>
    <col min="201" max="201" width="9.6640625" bestFit="1" customWidth="1"/>
    <col min="202" max="202" width="17.21875" bestFit="1" customWidth="1"/>
    <col min="203" max="203" width="8.33203125" bestFit="1" customWidth="1"/>
    <col min="204" max="204" width="8" bestFit="1" customWidth="1"/>
    <col min="205" max="205" width="7" bestFit="1" customWidth="1"/>
    <col min="206" max="206" width="6.5546875" bestFit="1" customWidth="1"/>
    <col min="207" max="207" width="10.33203125" bestFit="1" customWidth="1"/>
    <col min="208" max="211" width="8" bestFit="1" customWidth="1"/>
    <col min="212" max="213" width="9.6640625" bestFit="1" customWidth="1"/>
    <col min="214" max="214" width="7" bestFit="1" customWidth="1"/>
    <col min="215" max="215" width="4.109375" bestFit="1" customWidth="1"/>
    <col min="216" max="217" width="9.6640625" bestFit="1" customWidth="1"/>
    <col min="218" max="218" width="8" bestFit="1" customWidth="1"/>
    <col min="219" max="219" width="11.21875" bestFit="1" customWidth="1"/>
    <col min="220" max="220" width="9.6640625" bestFit="1" customWidth="1"/>
    <col min="221" max="223" width="7" bestFit="1" customWidth="1"/>
    <col min="224" max="224" width="10.33203125" bestFit="1" customWidth="1"/>
    <col min="225" max="225" width="9.6640625" bestFit="1" customWidth="1"/>
    <col min="226" max="226" width="11.33203125" bestFit="1" customWidth="1"/>
    <col min="227" max="228" width="8" bestFit="1" customWidth="1"/>
    <col min="229" max="229" width="9.6640625" bestFit="1" customWidth="1"/>
    <col min="230" max="231" width="7" bestFit="1" customWidth="1"/>
    <col min="232" max="232" width="8" bestFit="1" customWidth="1"/>
    <col min="233" max="233" width="15.5546875" bestFit="1" customWidth="1"/>
    <col min="234" max="234" width="8.33203125" bestFit="1" customWidth="1"/>
    <col min="235" max="235" width="7" bestFit="1" customWidth="1"/>
    <col min="236" max="236" width="7.21875" bestFit="1" customWidth="1"/>
    <col min="237" max="237" width="8" bestFit="1" customWidth="1"/>
    <col min="238" max="238" width="5" bestFit="1" customWidth="1"/>
    <col min="239" max="239" width="4.33203125" bestFit="1" customWidth="1"/>
    <col min="240" max="240" width="8" bestFit="1" customWidth="1"/>
    <col min="241" max="241" width="10.33203125" bestFit="1" customWidth="1"/>
    <col min="242" max="242" width="9.6640625" bestFit="1" customWidth="1"/>
    <col min="243" max="243" width="10.77734375" bestFit="1" customWidth="1"/>
    <col min="244" max="244" width="6.109375" bestFit="1" customWidth="1"/>
    <col min="245" max="245" width="7" bestFit="1" customWidth="1"/>
    <col min="246" max="246" width="4.6640625" bestFit="1" customWidth="1"/>
    <col min="247" max="247" width="7.77734375" bestFit="1" customWidth="1"/>
    <col min="248" max="248" width="8" bestFit="1" customWidth="1"/>
    <col min="249" max="249" width="4.6640625" bestFit="1" customWidth="1"/>
    <col min="250" max="252" width="8" bestFit="1" customWidth="1"/>
    <col min="253" max="253" width="10.33203125" bestFit="1" customWidth="1"/>
    <col min="254" max="254" width="9.6640625" bestFit="1" customWidth="1"/>
    <col min="255" max="255" width="7" bestFit="1" customWidth="1"/>
    <col min="256" max="256" width="10.33203125" bestFit="1" customWidth="1"/>
    <col min="257" max="257" width="8" bestFit="1" customWidth="1"/>
    <col min="258" max="259" width="9.6640625" bestFit="1" customWidth="1"/>
    <col min="260" max="260" width="7" bestFit="1" customWidth="1"/>
    <col min="261" max="261" width="6.5546875" bestFit="1" customWidth="1"/>
    <col min="262" max="262" width="7.77734375" bestFit="1" customWidth="1"/>
    <col min="263" max="263" width="8.33203125" bestFit="1" customWidth="1"/>
    <col min="264" max="264" width="8" bestFit="1" customWidth="1"/>
    <col min="265" max="265" width="7" bestFit="1" customWidth="1"/>
    <col min="266" max="266" width="9.6640625" bestFit="1" customWidth="1"/>
    <col min="267" max="267" width="8.33203125" bestFit="1" customWidth="1"/>
    <col min="268" max="268" width="10.5546875" bestFit="1" customWidth="1"/>
  </cols>
  <sheetData>
    <row r="1" spans="1:26" x14ac:dyDescent="0.3">
      <c r="A1" s="1" t="s">
        <v>9</v>
      </c>
      <c r="B1" s="1" t="s">
        <v>43</v>
      </c>
    </row>
    <row r="2" spans="1:26" x14ac:dyDescent="0.3">
      <c r="A2" s="1" t="s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  <c r="Z2" t="s">
        <v>5</v>
      </c>
    </row>
    <row r="3" spans="1:26" x14ac:dyDescent="0.3">
      <c r="A3" s="2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3">
      <c r="A4" s="3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3">
      <c r="A5" s="4" t="s">
        <v>6</v>
      </c>
      <c r="B5" s="5"/>
      <c r="C5" s="5"/>
      <c r="D5" s="5"/>
      <c r="E5" s="5">
        <v>0</v>
      </c>
      <c r="F5" s="5"/>
      <c r="G5" s="5"/>
      <c r="H5" s="5">
        <v>301311</v>
      </c>
      <c r="I5" s="5"/>
      <c r="J5" s="5"/>
      <c r="K5" s="5"/>
      <c r="L5" s="5"/>
      <c r="M5" s="5"/>
      <c r="N5" s="5">
        <v>796364</v>
      </c>
      <c r="O5" s="5"/>
      <c r="P5" s="5"/>
      <c r="Q5" s="5"/>
      <c r="R5" s="5"/>
      <c r="S5" s="5">
        <v>0</v>
      </c>
      <c r="T5" s="5">
        <v>0</v>
      </c>
      <c r="U5" s="5"/>
      <c r="V5" s="5"/>
      <c r="W5" s="5"/>
      <c r="X5" s="5">
        <v>0</v>
      </c>
      <c r="Y5" s="5"/>
      <c r="Z5" s="5">
        <v>1097675</v>
      </c>
    </row>
    <row r="6" spans="1:26" x14ac:dyDescent="0.3">
      <c r="A6" s="4" t="s">
        <v>7</v>
      </c>
      <c r="B6" s="5">
        <v>545986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>
        <v>0</v>
      </c>
      <c r="R6" s="5"/>
      <c r="S6" s="5">
        <v>1894532</v>
      </c>
      <c r="T6" s="5">
        <v>384096</v>
      </c>
      <c r="U6" s="5"/>
      <c r="V6" s="5"/>
      <c r="W6" s="5"/>
      <c r="X6" s="5"/>
      <c r="Y6" s="5"/>
      <c r="Z6" s="5">
        <v>2824614</v>
      </c>
    </row>
    <row r="7" spans="1:26" x14ac:dyDescent="0.3">
      <c r="A7" s="4" t="s">
        <v>8</v>
      </c>
      <c r="B7" s="5"/>
      <c r="C7" s="5"/>
      <c r="D7" s="5"/>
      <c r="E7" s="5">
        <v>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>
        <v>356956</v>
      </c>
      <c r="S7" s="5"/>
      <c r="T7" s="5"/>
      <c r="U7" s="5"/>
      <c r="V7" s="5">
        <v>699000</v>
      </c>
      <c r="W7" s="5"/>
      <c r="X7" s="5">
        <v>0</v>
      </c>
      <c r="Y7" s="5"/>
      <c r="Z7" s="5">
        <v>1055956</v>
      </c>
    </row>
    <row r="8" spans="1:26" x14ac:dyDescent="0.3">
      <c r="A8" s="3" t="s">
        <v>1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3">
      <c r="A9" s="4" t="s">
        <v>40</v>
      </c>
      <c r="B9" s="5"/>
      <c r="C9" s="5"/>
      <c r="D9" s="5"/>
      <c r="E9" s="5"/>
      <c r="F9" s="5">
        <v>144746</v>
      </c>
      <c r="G9" s="5">
        <v>1797181</v>
      </c>
      <c r="H9" s="5"/>
      <c r="I9" s="5">
        <v>144135</v>
      </c>
      <c r="J9" s="5">
        <v>0</v>
      </c>
      <c r="K9" s="5"/>
      <c r="L9" s="5">
        <v>2788191</v>
      </c>
      <c r="M9" s="5"/>
      <c r="N9" s="5"/>
      <c r="O9" s="5"/>
      <c r="P9" s="5"/>
      <c r="Q9" s="5"/>
      <c r="R9" s="5">
        <v>3032415</v>
      </c>
      <c r="S9" s="5">
        <v>809324</v>
      </c>
      <c r="T9" s="5"/>
      <c r="U9" s="5"/>
      <c r="V9" s="5"/>
      <c r="W9" s="5"/>
      <c r="X9" s="5">
        <v>712665</v>
      </c>
      <c r="Y9" s="5"/>
      <c r="Z9" s="5">
        <v>9428657</v>
      </c>
    </row>
    <row r="10" spans="1:26" x14ac:dyDescent="0.3">
      <c r="A10" s="4" t="s">
        <v>41</v>
      </c>
      <c r="B10" s="5"/>
      <c r="C10" s="5"/>
      <c r="D10" s="5"/>
      <c r="E10" s="5">
        <v>460449</v>
      </c>
      <c r="F10" s="5"/>
      <c r="G10" s="5"/>
      <c r="H10" s="5"/>
      <c r="I10" s="5"/>
      <c r="J10" s="5">
        <v>0</v>
      </c>
      <c r="K10" s="5">
        <v>1192206</v>
      </c>
      <c r="L10" s="5"/>
      <c r="M10" s="5">
        <v>1346124</v>
      </c>
      <c r="N10" s="5"/>
      <c r="O10" s="5"/>
      <c r="P10" s="5">
        <v>475014</v>
      </c>
      <c r="Q10" s="5">
        <v>832334</v>
      </c>
      <c r="R10" s="5"/>
      <c r="S10" s="5"/>
      <c r="T10" s="5">
        <v>4035149</v>
      </c>
      <c r="U10" s="5"/>
      <c r="V10" s="5"/>
      <c r="W10" s="5"/>
      <c r="X10" s="5"/>
      <c r="Y10" s="5"/>
      <c r="Z10" s="5">
        <v>8341276</v>
      </c>
    </row>
    <row r="11" spans="1:26" x14ac:dyDescent="0.3">
      <c r="A11" s="4" t="s">
        <v>37</v>
      </c>
      <c r="B11" s="5"/>
      <c r="C11" s="5"/>
      <c r="D11" s="5"/>
      <c r="E11" s="5"/>
      <c r="F11" s="5">
        <v>0</v>
      </c>
      <c r="G11" s="5">
        <v>2487612</v>
      </c>
      <c r="H11" s="5"/>
      <c r="I11" s="5"/>
      <c r="J11" s="5"/>
      <c r="K11" s="5"/>
      <c r="L11" s="5"/>
      <c r="M11" s="5">
        <v>1266854</v>
      </c>
      <c r="N11" s="5">
        <v>817352</v>
      </c>
      <c r="O11" s="5"/>
      <c r="P11" s="5"/>
      <c r="Q11" s="5"/>
      <c r="R11" s="5"/>
      <c r="S11" s="5">
        <v>0</v>
      </c>
      <c r="T11" s="5"/>
      <c r="U11" s="5"/>
      <c r="V11" s="5"/>
      <c r="W11" s="5"/>
      <c r="X11" s="5">
        <v>0</v>
      </c>
      <c r="Y11" s="5"/>
      <c r="Z11" s="5">
        <v>4571818</v>
      </c>
    </row>
    <row r="12" spans="1:26" x14ac:dyDescent="0.3">
      <c r="A12" s="3" t="s">
        <v>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3">
      <c r="A13" s="4" t="s">
        <v>10</v>
      </c>
      <c r="B13" s="5">
        <v>0</v>
      </c>
      <c r="C13" s="5">
        <v>0</v>
      </c>
      <c r="D13" s="5"/>
      <c r="E13" s="5">
        <v>0</v>
      </c>
      <c r="F13" s="5"/>
      <c r="G13" s="5"/>
      <c r="H13" s="5"/>
      <c r="I13" s="5"/>
      <c r="J13" s="5"/>
      <c r="K13" s="5"/>
      <c r="L13" s="5"/>
      <c r="M13" s="5">
        <v>450981</v>
      </c>
      <c r="N13" s="5"/>
      <c r="O13" s="5"/>
      <c r="P13" s="5">
        <v>3538294</v>
      </c>
      <c r="Q13" s="5"/>
      <c r="R13" s="5"/>
      <c r="S13" s="5"/>
      <c r="T13" s="5">
        <v>346690</v>
      </c>
      <c r="U13" s="5"/>
      <c r="V13" s="5"/>
      <c r="W13" s="5">
        <v>860958</v>
      </c>
      <c r="X13" s="5"/>
      <c r="Y13" s="5"/>
      <c r="Z13" s="5">
        <v>5196923</v>
      </c>
    </row>
    <row r="14" spans="1:26" x14ac:dyDescent="0.3">
      <c r="A14" s="4" t="s">
        <v>11</v>
      </c>
      <c r="B14" s="5"/>
      <c r="C14" s="5">
        <v>3066359</v>
      </c>
      <c r="D14" s="5">
        <v>16567</v>
      </c>
      <c r="E14" s="5"/>
      <c r="F14" s="5"/>
      <c r="G14" s="5"/>
      <c r="H14" s="5"/>
      <c r="I14" s="5"/>
      <c r="J14" s="5"/>
      <c r="K14" s="5">
        <v>0</v>
      </c>
      <c r="L14" s="5"/>
      <c r="M14" s="5"/>
      <c r="N14" s="5">
        <v>1067167</v>
      </c>
      <c r="O14" s="5"/>
      <c r="P14" s="5">
        <v>1346124</v>
      </c>
      <c r="Q14" s="5"/>
      <c r="R14" s="5">
        <v>953783</v>
      </c>
      <c r="S14" s="5"/>
      <c r="T14" s="5">
        <v>0</v>
      </c>
      <c r="U14" s="5"/>
      <c r="V14" s="5"/>
      <c r="W14" s="5"/>
      <c r="X14" s="5"/>
      <c r="Y14" s="5"/>
      <c r="Z14" s="5">
        <v>6450000</v>
      </c>
    </row>
    <row r="15" spans="1:26" x14ac:dyDescent="0.3">
      <c r="A15" s="4" t="s">
        <v>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0</v>
      </c>
      <c r="R15" s="5"/>
      <c r="S15" s="5"/>
      <c r="T15" s="5">
        <v>676614</v>
      </c>
      <c r="U15" s="5"/>
      <c r="V15" s="5"/>
      <c r="W15" s="5"/>
      <c r="X15" s="5"/>
      <c r="Y15" s="5">
        <v>1364962</v>
      </c>
      <c r="Z15" s="5">
        <v>2041576</v>
      </c>
    </row>
    <row r="16" spans="1:26" x14ac:dyDescent="0.3">
      <c r="A16" s="3" t="s">
        <v>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3">
      <c r="A17" s="4" t="s">
        <v>42</v>
      </c>
      <c r="B17" s="5"/>
      <c r="C17" s="5"/>
      <c r="D17" s="5"/>
      <c r="E17" s="5"/>
      <c r="F17" s="5">
        <v>626364</v>
      </c>
      <c r="G17" s="5"/>
      <c r="H17" s="5"/>
      <c r="I17" s="5"/>
      <c r="J17" s="5"/>
      <c r="K17" s="5"/>
      <c r="L17" s="5"/>
      <c r="M17" s="5"/>
      <c r="N17" s="5"/>
      <c r="O17" s="5">
        <v>707194</v>
      </c>
      <c r="P17" s="5"/>
      <c r="Q17" s="5"/>
      <c r="R17" s="5"/>
      <c r="S17" s="5"/>
      <c r="T17" s="5"/>
      <c r="U17" s="5"/>
      <c r="V17" s="5"/>
      <c r="W17" s="5"/>
      <c r="X17" s="5">
        <v>699000</v>
      </c>
      <c r="Y17" s="5">
        <v>2186997</v>
      </c>
      <c r="Z17" s="5">
        <v>4219555</v>
      </c>
    </row>
    <row r="18" spans="1:26" x14ac:dyDescent="0.3">
      <c r="A18" s="4" t="s">
        <v>38</v>
      </c>
      <c r="B18" s="5"/>
      <c r="C18" s="5"/>
      <c r="D18" s="5"/>
      <c r="E18" s="5"/>
      <c r="F18" s="5"/>
      <c r="G18" s="5">
        <v>1616388</v>
      </c>
      <c r="H18" s="5"/>
      <c r="I18" s="5"/>
      <c r="J18" s="5"/>
      <c r="K18" s="5">
        <v>966730</v>
      </c>
      <c r="L18" s="5"/>
      <c r="M18" s="5"/>
      <c r="N18" s="5">
        <v>0</v>
      </c>
      <c r="O18" s="5">
        <v>2709422</v>
      </c>
      <c r="P18" s="5">
        <v>0</v>
      </c>
      <c r="Q18" s="5">
        <v>0</v>
      </c>
      <c r="R18" s="5"/>
      <c r="S18" s="5"/>
      <c r="T18" s="5"/>
      <c r="U18" s="5"/>
      <c r="V18" s="5"/>
      <c r="W18" s="5"/>
      <c r="X18" s="5"/>
      <c r="Y18" s="5">
        <v>0</v>
      </c>
      <c r="Z18" s="5">
        <v>5292540</v>
      </c>
    </row>
    <row r="19" spans="1:26" x14ac:dyDescent="0.3">
      <c r="A19" s="4" t="s">
        <v>39</v>
      </c>
      <c r="B19" s="5"/>
      <c r="C19" s="5">
        <v>0</v>
      </c>
      <c r="D19" s="5"/>
      <c r="E19" s="5"/>
      <c r="F19" s="5"/>
      <c r="G19" s="5"/>
      <c r="H19" s="5">
        <v>929397</v>
      </c>
      <c r="I19" s="5"/>
      <c r="J19" s="5"/>
      <c r="K19" s="5"/>
      <c r="L19" s="5"/>
      <c r="M19" s="5"/>
      <c r="N19" s="5"/>
      <c r="O19" s="5"/>
      <c r="P19" s="5"/>
      <c r="Q19" s="5">
        <v>1735530</v>
      </c>
      <c r="R19" s="5"/>
      <c r="S19" s="5">
        <v>3613024</v>
      </c>
      <c r="T19" s="5"/>
      <c r="U19" s="5"/>
      <c r="V19" s="5"/>
      <c r="W19" s="5"/>
      <c r="X19" s="5"/>
      <c r="Y19" s="5">
        <v>0</v>
      </c>
      <c r="Z19" s="5">
        <v>6277951</v>
      </c>
    </row>
    <row r="20" spans="1:26" x14ac:dyDescent="0.3">
      <c r="A20" s="2" t="s">
        <v>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3">
      <c r="A21" s="4" t="s">
        <v>6</v>
      </c>
      <c r="B21" s="5"/>
      <c r="C21" s="5"/>
      <c r="D21" s="5"/>
      <c r="E21" s="5"/>
      <c r="F21" s="5"/>
      <c r="G21" s="5"/>
      <c r="H21" s="5">
        <v>961490</v>
      </c>
      <c r="I21" s="5"/>
      <c r="J21" s="5"/>
      <c r="K21" s="5"/>
      <c r="L21" s="5">
        <v>3436703</v>
      </c>
      <c r="M21" s="5">
        <v>700723</v>
      </c>
      <c r="N21" s="5"/>
      <c r="O21" s="5">
        <v>0</v>
      </c>
      <c r="P21" s="5"/>
      <c r="Q21" s="5"/>
      <c r="R21" s="5">
        <v>446100</v>
      </c>
      <c r="S21" s="5"/>
      <c r="T21" s="5"/>
      <c r="U21" s="5">
        <v>1137768</v>
      </c>
      <c r="V21" s="5"/>
      <c r="W21" s="5"/>
      <c r="X21" s="5">
        <v>1341880</v>
      </c>
      <c r="Y21" s="5"/>
      <c r="Z21" s="5">
        <v>8024664</v>
      </c>
    </row>
    <row r="22" spans="1:26" x14ac:dyDescent="0.3">
      <c r="A22" s="4" t="s">
        <v>7</v>
      </c>
      <c r="B22" s="5"/>
      <c r="C22" s="5"/>
      <c r="D22" s="5"/>
      <c r="E22" s="5"/>
      <c r="F22" s="5">
        <v>15151</v>
      </c>
      <c r="G22" s="5"/>
      <c r="H22" s="5"/>
      <c r="I22" s="5"/>
      <c r="J22" s="5"/>
      <c r="K22" s="5"/>
      <c r="L22" s="5">
        <v>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>
        <v>3653838</v>
      </c>
      <c r="X22" s="5"/>
      <c r="Y22" s="5"/>
      <c r="Z22" s="5">
        <v>3668989</v>
      </c>
    </row>
    <row r="23" spans="1:26" x14ac:dyDescent="0.3">
      <c r="A23" s="4" t="s">
        <v>8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2987334</v>
      </c>
      <c r="N23" s="5"/>
      <c r="O23" s="5"/>
      <c r="P23" s="5">
        <v>3283643</v>
      </c>
      <c r="Q23" s="5"/>
      <c r="R23" s="5"/>
      <c r="S23" s="5"/>
      <c r="T23" s="5">
        <v>4320333</v>
      </c>
      <c r="U23" s="5"/>
      <c r="V23" s="5">
        <v>2853777</v>
      </c>
      <c r="W23" s="5"/>
      <c r="X23" s="5"/>
      <c r="Y23" s="5">
        <v>642820</v>
      </c>
      <c r="Z23" s="5">
        <v>14087907</v>
      </c>
    </row>
    <row r="24" spans="1:26" x14ac:dyDescent="0.3">
      <c r="A24" s="4" t="s">
        <v>40</v>
      </c>
      <c r="B24" s="5"/>
      <c r="C24" s="5"/>
      <c r="D24" s="5"/>
      <c r="E24" s="5">
        <v>1255791</v>
      </c>
      <c r="F24" s="5">
        <v>0</v>
      </c>
      <c r="G24" s="5"/>
      <c r="H24" s="5"/>
      <c r="I24" s="5">
        <v>0</v>
      </c>
      <c r="J24" s="5">
        <v>2690473</v>
      </c>
      <c r="K24" s="5">
        <v>2420012</v>
      </c>
      <c r="L24" s="5"/>
      <c r="M24" s="5"/>
      <c r="N24" s="5"/>
      <c r="O24" s="5"/>
      <c r="P24" s="5"/>
      <c r="Q24" s="5">
        <v>1002329</v>
      </c>
      <c r="R24" s="5"/>
      <c r="S24" s="5"/>
      <c r="T24" s="5"/>
      <c r="U24" s="5"/>
      <c r="V24" s="5"/>
      <c r="W24" s="5"/>
      <c r="X24" s="5"/>
      <c r="Y24" s="5"/>
      <c r="Z24" s="5">
        <v>7368605</v>
      </c>
    </row>
    <row r="25" spans="1:26" x14ac:dyDescent="0.3">
      <c r="A25" s="4" t="s">
        <v>41</v>
      </c>
      <c r="B25" s="5">
        <v>4002980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>
        <v>1496295</v>
      </c>
      <c r="U25" s="5"/>
      <c r="V25" s="5"/>
      <c r="W25" s="5"/>
      <c r="X25" s="5"/>
      <c r="Y25" s="5"/>
      <c r="Z25" s="5">
        <v>5499275</v>
      </c>
    </row>
    <row r="26" spans="1:26" x14ac:dyDescent="0.3">
      <c r="A26" s="4" t="s">
        <v>37</v>
      </c>
      <c r="B26" s="5"/>
      <c r="C26" s="5">
        <v>0</v>
      </c>
      <c r="D26" s="5"/>
      <c r="E26" s="5"/>
      <c r="F26" s="5"/>
      <c r="G26" s="5">
        <v>423459</v>
      </c>
      <c r="H26" s="5"/>
      <c r="I26" s="5"/>
      <c r="J26" s="5">
        <v>2271032</v>
      </c>
      <c r="K26" s="5">
        <v>0</v>
      </c>
      <c r="L26" s="5"/>
      <c r="M26" s="5"/>
      <c r="N26" s="5"/>
      <c r="O26" s="5">
        <v>3799575</v>
      </c>
      <c r="P26" s="5"/>
      <c r="Q26" s="5"/>
      <c r="R26" s="5"/>
      <c r="S26" s="5"/>
      <c r="T26" s="5">
        <v>1118905</v>
      </c>
      <c r="U26" s="5"/>
      <c r="V26" s="5">
        <v>3120038</v>
      </c>
      <c r="W26" s="5">
        <v>133113</v>
      </c>
      <c r="X26" s="5">
        <v>0</v>
      </c>
      <c r="Y26" s="5"/>
      <c r="Z26" s="5">
        <v>10866122</v>
      </c>
    </row>
    <row r="27" spans="1:26" x14ac:dyDescent="0.3">
      <c r="A27" s="4" t="s">
        <v>10</v>
      </c>
      <c r="B27" s="5">
        <v>408017</v>
      </c>
      <c r="C27" s="5">
        <v>0</v>
      </c>
      <c r="D27" s="5"/>
      <c r="E27" s="5"/>
      <c r="F27" s="5">
        <v>0</v>
      </c>
      <c r="G27" s="5">
        <v>156466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>
        <v>4848175</v>
      </c>
      <c r="Y27" s="5"/>
      <c r="Z27" s="5">
        <v>5412658</v>
      </c>
    </row>
    <row r="28" spans="1:26" x14ac:dyDescent="0.3">
      <c r="A28" s="4" t="s">
        <v>11</v>
      </c>
      <c r="B28" s="5"/>
      <c r="C28" s="5"/>
      <c r="D28" s="5"/>
      <c r="E28" s="5"/>
      <c r="F28" s="5"/>
      <c r="G28" s="5"/>
      <c r="H28" s="5"/>
      <c r="I28" s="5"/>
      <c r="J28" s="5">
        <v>2075520</v>
      </c>
      <c r="K28" s="5"/>
      <c r="L28" s="5"/>
      <c r="M28" s="5">
        <v>998106</v>
      </c>
      <c r="N28" s="5"/>
      <c r="O28" s="5"/>
      <c r="P28" s="5">
        <v>0</v>
      </c>
      <c r="Q28" s="5">
        <v>2424584</v>
      </c>
      <c r="R28" s="5"/>
      <c r="S28" s="5">
        <v>0</v>
      </c>
      <c r="T28" s="5"/>
      <c r="U28" s="5"/>
      <c r="V28" s="5"/>
      <c r="W28" s="5"/>
      <c r="X28" s="5"/>
      <c r="Y28" s="5">
        <v>0</v>
      </c>
      <c r="Z28" s="5">
        <v>5498210</v>
      </c>
    </row>
    <row r="29" spans="1:26" x14ac:dyDescent="0.3">
      <c r="A29" s="4" t="s">
        <v>12</v>
      </c>
      <c r="B29" s="5">
        <v>5626179</v>
      </c>
      <c r="C29" s="5">
        <v>1460234</v>
      </c>
      <c r="D29" s="5">
        <v>5370324</v>
      </c>
      <c r="E29" s="5">
        <v>1772931</v>
      </c>
      <c r="F29" s="5">
        <v>1423153</v>
      </c>
      <c r="G29" s="5"/>
      <c r="H29" s="5"/>
      <c r="I29" s="5"/>
      <c r="J29" s="5"/>
      <c r="K29" s="5"/>
      <c r="L29" s="5"/>
      <c r="M29" s="5"/>
      <c r="N29" s="5"/>
      <c r="O29" s="5">
        <v>1295079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>
        <v>16947900</v>
      </c>
    </row>
    <row r="30" spans="1:26" x14ac:dyDescent="0.3">
      <c r="A30" s="4" t="s">
        <v>42</v>
      </c>
      <c r="B30" s="5">
        <v>654268</v>
      </c>
      <c r="C30" s="5"/>
      <c r="D30" s="5"/>
      <c r="E30" s="5"/>
      <c r="F30" s="5">
        <v>0</v>
      </c>
      <c r="G30" s="5">
        <v>0</v>
      </c>
      <c r="H30" s="5"/>
      <c r="I30" s="5"/>
      <c r="J30" s="5">
        <v>2255271</v>
      </c>
      <c r="K30" s="5"/>
      <c r="L30" s="5"/>
      <c r="M30" s="5"/>
      <c r="N30" s="5"/>
      <c r="O30" s="5"/>
      <c r="P30" s="5"/>
      <c r="Q30" s="5"/>
      <c r="R30" s="5"/>
      <c r="S30" s="5"/>
      <c r="T30" s="5">
        <v>1641285</v>
      </c>
      <c r="U30" s="5"/>
      <c r="V30" s="5"/>
      <c r="W30" s="5"/>
      <c r="X30" s="5"/>
      <c r="Y30" s="5">
        <v>0</v>
      </c>
      <c r="Z30" s="5">
        <v>4550824</v>
      </c>
    </row>
    <row r="31" spans="1:26" x14ac:dyDescent="0.3">
      <c r="A31" s="4" t="s">
        <v>38</v>
      </c>
      <c r="B31" s="5"/>
      <c r="C31" s="5"/>
      <c r="D31" s="5"/>
      <c r="E31" s="5"/>
      <c r="F31" s="5"/>
      <c r="G31" s="5"/>
      <c r="H31" s="5"/>
      <c r="I31" s="5">
        <v>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0</v>
      </c>
      <c r="U31" s="5"/>
      <c r="V31" s="5">
        <v>0</v>
      </c>
      <c r="W31" s="5"/>
      <c r="X31" s="5"/>
      <c r="Y31" s="5"/>
      <c r="Z31" s="5">
        <v>0</v>
      </c>
    </row>
    <row r="32" spans="1:26" x14ac:dyDescent="0.3">
      <c r="A32" s="4" t="s">
        <v>39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</v>
      </c>
      <c r="N32" s="5"/>
      <c r="O32" s="5"/>
      <c r="P32" s="5"/>
      <c r="Q32" s="5"/>
      <c r="R32" s="5"/>
      <c r="S32" s="5"/>
      <c r="T32" s="5">
        <v>174034</v>
      </c>
      <c r="U32" s="5">
        <v>1533816</v>
      </c>
      <c r="V32" s="5"/>
      <c r="W32" s="5"/>
      <c r="X32" s="5"/>
      <c r="Y32" s="5"/>
      <c r="Z32" s="5">
        <v>1707850</v>
      </c>
    </row>
    <row r="33" spans="1:26" x14ac:dyDescent="0.3">
      <c r="A33" s="2" t="s">
        <v>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3">
      <c r="A34" s="4" t="s">
        <v>6</v>
      </c>
      <c r="B34" s="5"/>
      <c r="C34" s="5"/>
      <c r="D34" s="5">
        <v>0</v>
      </c>
      <c r="E34" s="5">
        <v>518706</v>
      </c>
      <c r="F34" s="5"/>
      <c r="G34" s="5"/>
      <c r="H34" s="5">
        <v>1522198</v>
      </c>
      <c r="I34" s="5"/>
      <c r="J34" s="5"/>
      <c r="K34" s="5"/>
      <c r="L34" s="5">
        <v>0</v>
      </c>
      <c r="M34" s="5">
        <v>1895740</v>
      </c>
      <c r="N34" s="5">
        <v>0</v>
      </c>
      <c r="O34" s="5"/>
      <c r="P34" s="5"/>
      <c r="Q34" s="5"/>
      <c r="R34" s="5"/>
      <c r="S34" s="5"/>
      <c r="T34" s="5"/>
      <c r="U34" s="5"/>
      <c r="V34" s="5"/>
      <c r="W34" s="5">
        <v>384254</v>
      </c>
      <c r="X34" s="5">
        <v>1150862</v>
      </c>
      <c r="Y34" s="5"/>
      <c r="Z34" s="5">
        <v>5471760</v>
      </c>
    </row>
    <row r="35" spans="1:26" x14ac:dyDescent="0.3">
      <c r="A35" s="4" t="s">
        <v>7</v>
      </c>
      <c r="B35" s="5">
        <v>0</v>
      </c>
      <c r="C35" s="5"/>
      <c r="D35" s="5">
        <v>545986</v>
      </c>
      <c r="E35" s="5"/>
      <c r="F35" s="5"/>
      <c r="G35" s="5"/>
      <c r="H35" s="5"/>
      <c r="I35" s="5"/>
      <c r="J35" s="5">
        <v>2286000</v>
      </c>
      <c r="K35" s="5"/>
      <c r="L35" s="5"/>
      <c r="M35" s="5"/>
      <c r="N35" s="5"/>
      <c r="O35" s="5">
        <v>3778840</v>
      </c>
      <c r="P35" s="5"/>
      <c r="Q35" s="5"/>
      <c r="R35" s="5"/>
      <c r="S35" s="5"/>
      <c r="T35" s="5"/>
      <c r="U35" s="5"/>
      <c r="V35" s="5"/>
      <c r="W35" s="5"/>
      <c r="X35" s="5"/>
      <c r="Y35" s="5">
        <v>1381236</v>
      </c>
      <c r="Z35" s="5">
        <v>7992062</v>
      </c>
    </row>
    <row r="36" spans="1:26" x14ac:dyDescent="0.3">
      <c r="A36" s="4" t="s">
        <v>8</v>
      </c>
      <c r="B36" s="5"/>
      <c r="C36" s="5">
        <v>859275</v>
      </c>
      <c r="D36" s="5"/>
      <c r="E36" s="5"/>
      <c r="F36" s="5"/>
      <c r="G36" s="5"/>
      <c r="H36" s="5"/>
      <c r="I36" s="5"/>
      <c r="J36" s="5"/>
      <c r="K36" s="5"/>
      <c r="L36" s="5"/>
      <c r="M36" s="5">
        <v>676010</v>
      </c>
      <c r="N36" s="5"/>
      <c r="O36" s="5">
        <v>2931880</v>
      </c>
      <c r="P36" s="5"/>
      <c r="Q36" s="5"/>
      <c r="R36" s="5"/>
      <c r="S36" s="5"/>
      <c r="T36" s="5"/>
      <c r="U36" s="5"/>
      <c r="V36" s="5">
        <v>316060</v>
      </c>
      <c r="W36" s="5"/>
      <c r="X36" s="5">
        <v>2020587</v>
      </c>
      <c r="Y36" s="5"/>
      <c r="Z36" s="5">
        <v>6803812</v>
      </c>
    </row>
    <row r="37" spans="1:26" x14ac:dyDescent="0.3">
      <c r="A37" s="4" t="s">
        <v>40</v>
      </c>
      <c r="B37" s="5">
        <v>488389</v>
      </c>
      <c r="C37" s="5"/>
      <c r="D37" s="5"/>
      <c r="E37" s="5"/>
      <c r="F37" s="5"/>
      <c r="G37" s="5"/>
      <c r="H37" s="5"/>
      <c r="I37" s="5"/>
      <c r="J37" s="5">
        <v>0</v>
      </c>
      <c r="K37" s="5">
        <v>0</v>
      </c>
      <c r="L37" s="5"/>
      <c r="M37" s="5"/>
      <c r="N37" s="5"/>
      <c r="O37" s="5"/>
      <c r="P37" s="5"/>
      <c r="Q37" s="5">
        <v>2448102</v>
      </c>
      <c r="R37" s="5"/>
      <c r="S37" s="5">
        <v>0</v>
      </c>
      <c r="T37" s="5">
        <v>930060</v>
      </c>
      <c r="U37" s="5">
        <v>213633</v>
      </c>
      <c r="V37" s="5"/>
      <c r="W37" s="5"/>
      <c r="X37" s="5"/>
      <c r="Y37" s="5">
        <v>6873406</v>
      </c>
      <c r="Z37" s="5">
        <v>10953590</v>
      </c>
    </row>
    <row r="38" spans="1:26" x14ac:dyDescent="0.3">
      <c r="A38" s="4" t="s">
        <v>41</v>
      </c>
      <c r="B38" s="5"/>
      <c r="C38" s="5"/>
      <c r="D38" s="5"/>
      <c r="E38" s="5"/>
      <c r="F38" s="5">
        <v>0</v>
      </c>
      <c r="G38" s="5">
        <v>321628</v>
      </c>
      <c r="H38" s="5"/>
      <c r="I38" s="5"/>
      <c r="J38" s="5"/>
      <c r="K38" s="5"/>
      <c r="L38" s="5"/>
      <c r="M38" s="5"/>
      <c r="N38" s="5">
        <v>0</v>
      </c>
      <c r="O38" s="5"/>
      <c r="P38" s="5"/>
      <c r="Q38" s="5"/>
      <c r="R38" s="5">
        <v>4919892</v>
      </c>
      <c r="S38" s="5"/>
      <c r="T38" s="5"/>
      <c r="U38" s="5">
        <v>379236</v>
      </c>
      <c r="V38" s="5"/>
      <c r="W38" s="5"/>
      <c r="X38" s="5"/>
      <c r="Y38" s="5">
        <v>156466</v>
      </c>
      <c r="Z38" s="5">
        <v>5777222</v>
      </c>
    </row>
    <row r="39" spans="1:26" x14ac:dyDescent="0.3">
      <c r="A39" s="4" t="s">
        <v>37</v>
      </c>
      <c r="B39" s="5"/>
      <c r="C39" s="5"/>
      <c r="D39" s="5"/>
      <c r="E39" s="5">
        <v>183912</v>
      </c>
      <c r="F39" s="5"/>
      <c r="G39" s="5"/>
      <c r="H39" s="5"/>
      <c r="I39" s="5">
        <v>1085403</v>
      </c>
      <c r="J39" s="5">
        <v>1549262</v>
      </c>
      <c r="K39" s="5"/>
      <c r="L39" s="5"/>
      <c r="M39" s="5"/>
      <c r="N39" s="5">
        <v>0</v>
      </c>
      <c r="O39" s="5"/>
      <c r="P39" s="5"/>
      <c r="Q39" s="5"/>
      <c r="R39" s="5"/>
      <c r="S39" s="5">
        <v>0</v>
      </c>
      <c r="T39" s="5"/>
      <c r="U39" s="5"/>
      <c r="V39" s="5">
        <v>365682</v>
      </c>
      <c r="W39" s="5">
        <v>1144958</v>
      </c>
      <c r="X39" s="5"/>
      <c r="Y39" s="5"/>
      <c r="Z39" s="5">
        <v>4329217</v>
      </c>
    </row>
    <row r="40" spans="1:26" x14ac:dyDescent="0.3">
      <c r="A40" s="4" t="s">
        <v>10</v>
      </c>
      <c r="B40" s="5"/>
      <c r="C40" s="5"/>
      <c r="D40" s="5"/>
      <c r="E40" s="5"/>
      <c r="F40" s="5"/>
      <c r="G40" s="5"/>
      <c r="H40" s="5"/>
      <c r="I40" s="5"/>
      <c r="J40" s="5">
        <v>1718550</v>
      </c>
      <c r="K40" s="5">
        <v>7298356</v>
      </c>
      <c r="L40" s="5"/>
      <c r="M40" s="5"/>
      <c r="N40" s="5"/>
      <c r="O40" s="5"/>
      <c r="P40" s="5"/>
      <c r="Q40" s="5"/>
      <c r="R40" s="5">
        <v>315514</v>
      </c>
      <c r="S40" s="5"/>
      <c r="T40" s="5">
        <v>0</v>
      </c>
      <c r="U40" s="5">
        <v>626659</v>
      </c>
      <c r="V40" s="5">
        <v>1780068</v>
      </c>
      <c r="W40" s="5"/>
      <c r="X40" s="5"/>
      <c r="Y40" s="5"/>
      <c r="Z40" s="5">
        <v>11739147</v>
      </c>
    </row>
    <row r="41" spans="1:26" x14ac:dyDescent="0.3">
      <c r="A41" s="4" t="s">
        <v>11</v>
      </c>
      <c r="B41" s="5"/>
      <c r="C41" s="5">
        <v>281875</v>
      </c>
      <c r="D41" s="5">
        <v>2882069</v>
      </c>
      <c r="E41" s="5">
        <v>156591</v>
      </c>
      <c r="F41" s="5"/>
      <c r="G41" s="5"/>
      <c r="H41" s="5"/>
      <c r="I41" s="5"/>
      <c r="J41" s="5"/>
      <c r="K41" s="5"/>
      <c r="L41" s="5"/>
      <c r="M41" s="5">
        <v>864018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4184553</v>
      </c>
    </row>
    <row r="42" spans="1:26" x14ac:dyDescent="0.3">
      <c r="A42" s="4" t="s">
        <v>12</v>
      </c>
      <c r="B42" s="5"/>
      <c r="C42" s="5">
        <v>1880244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1932059</v>
      </c>
      <c r="T42" s="5"/>
      <c r="U42" s="5">
        <v>0</v>
      </c>
      <c r="V42" s="5"/>
      <c r="W42" s="5"/>
      <c r="X42" s="5">
        <v>0</v>
      </c>
      <c r="Y42" s="5"/>
      <c r="Z42" s="5">
        <v>3812303</v>
      </c>
    </row>
    <row r="43" spans="1:26" x14ac:dyDescent="0.3">
      <c r="A43" s="4" t="s">
        <v>42</v>
      </c>
      <c r="B43" s="5"/>
      <c r="C43" s="5"/>
      <c r="D43" s="5">
        <v>39971</v>
      </c>
      <c r="E43" s="5"/>
      <c r="F43" s="5"/>
      <c r="G43" s="5">
        <v>2478834</v>
      </c>
      <c r="H43" s="5"/>
      <c r="I43" s="5">
        <v>3820204</v>
      </c>
      <c r="J43" s="5"/>
      <c r="K43" s="5"/>
      <c r="L43" s="5"/>
      <c r="M43" s="5"/>
      <c r="N43" s="5"/>
      <c r="O43" s="5"/>
      <c r="P43" s="5"/>
      <c r="Q43" s="5"/>
      <c r="R43" s="5">
        <v>700723</v>
      </c>
      <c r="S43" s="5"/>
      <c r="T43" s="5"/>
      <c r="U43" s="5"/>
      <c r="V43" s="5"/>
      <c r="W43" s="5"/>
      <c r="X43" s="5"/>
      <c r="Y43" s="5"/>
      <c r="Z43" s="5">
        <v>7039732</v>
      </c>
    </row>
    <row r="44" spans="1:26" x14ac:dyDescent="0.3">
      <c r="A44" s="4" t="s">
        <v>38</v>
      </c>
      <c r="B44" s="5"/>
      <c r="C44" s="5"/>
      <c r="D44" s="5"/>
      <c r="E44" s="5"/>
      <c r="F44" s="5">
        <v>0</v>
      </c>
      <c r="G44" s="5"/>
      <c r="H44" s="5">
        <v>750380</v>
      </c>
      <c r="I44" s="5">
        <v>158030</v>
      </c>
      <c r="J44" s="5"/>
      <c r="K44" s="5"/>
      <c r="L44" s="5"/>
      <c r="M44" s="5"/>
      <c r="N44" s="5"/>
      <c r="O44" s="5"/>
      <c r="P44" s="5"/>
      <c r="Q44" s="5"/>
      <c r="R44" s="5">
        <v>0</v>
      </c>
      <c r="S44" s="5"/>
      <c r="T44" s="5">
        <v>5529024</v>
      </c>
      <c r="U44" s="5">
        <v>2020587</v>
      </c>
      <c r="V44" s="5"/>
      <c r="W44" s="5"/>
      <c r="X44" s="5"/>
      <c r="Y44" s="5"/>
      <c r="Z44" s="5">
        <v>8458021</v>
      </c>
    </row>
    <row r="45" spans="1:26" x14ac:dyDescent="0.3">
      <c r="A45" s="4" t="s">
        <v>39</v>
      </c>
      <c r="B45" s="5"/>
      <c r="C45" s="5"/>
      <c r="D45" s="5"/>
      <c r="E45" s="5">
        <v>0</v>
      </c>
      <c r="F45" s="5"/>
      <c r="G45" s="5">
        <v>345804</v>
      </c>
      <c r="H45" s="5"/>
      <c r="I45" s="5"/>
      <c r="J45" s="5"/>
      <c r="K45" s="5"/>
      <c r="L45" s="5"/>
      <c r="M45" s="5">
        <v>690618</v>
      </c>
      <c r="N45" s="5">
        <v>50442</v>
      </c>
      <c r="O45" s="5"/>
      <c r="P45" s="5"/>
      <c r="Q45" s="5">
        <v>0</v>
      </c>
      <c r="R45" s="5">
        <v>0</v>
      </c>
      <c r="S45" s="5">
        <v>349500</v>
      </c>
      <c r="T45" s="5">
        <v>0</v>
      </c>
      <c r="U45" s="5"/>
      <c r="V45" s="5"/>
      <c r="W45" s="5"/>
      <c r="X45" s="5">
        <v>1455491</v>
      </c>
      <c r="Y45" s="5">
        <v>1484912</v>
      </c>
      <c r="Z45" s="5">
        <v>4376767</v>
      </c>
    </row>
    <row r="46" spans="1:26" x14ac:dyDescent="0.3">
      <c r="A46" s="2" t="s">
        <v>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3">
      <c r="A47" s="4" t="s">
        <v>6</v>
      </c>
      <c r="B47" s="5"/>
      <c r="C47" s="5"/>
      <c r="D47" s="5"/>
      <c r="E47" s="5">
        <v>0</v>
      </c>
      <c r="F47" s="5"/>
      <c r="G47" s="5"/>
      <c r="H47" s="5"/>
      <c r="I47" s="5">
        <v>0</v>
      </c>
      <c r="J47" s="5"/>
      <c r="K47" s="5"/>
      <c r="L47" s="5"/>
      <c r="M47" s="5">
        <v>460449</v>
      </c>
      <c r="N47" s="5"/>
      <c r="O47" s="5"/>
      <c r="P47" s="5"/>
      <c r="Q47" s="5">
        <v>4312515</v>
      </c>
      <c r="R47" s="5"/>
      <c r="S47" s="5"/>
      <c r="T47" s="5"/>
      <c r="U47" s="5"/>
      <c r="V47" s="5"/>
      <c r="W47" s="5"/>
      <c r="X47" s="5"/>
      <c r="Y47" s="5"/>
      <c r="Z47" s="5">
        <v>4772964</v>
      </c>
    </row>
    <row r="48" spans="1:26" x14ac:dyDescent="0.3">
      <c r="A48" s="4" t="s">
        <v>7</v>
      </c>
      <c r="B48" s="5">
        <v>1539372</v>
      </c>
      <c r="C48" s="5">
        <v>818788</v>
      </c>
      <c r="D48" s="5"/>
      <c r="E48" s="5"/>
      <c r="F48" s="5"/>
      <c r="G48" s="5"/>
      <c r="H48" s="5"/>
      <c r="I48" s="5"/>
      <c r="J48" s="5"/>
      <c r="K48" s="5">
        <v>0</v>
      </c>
      <c r="L48" s="5"/>
      <c r="M48" s="5"/>
      <c r="N48" s="5"/>
      <c r="O48" s="5"/>
      <c r="P48" s="5"/>
      <c r="Q48" s="5"/>
      <c r="R48" s="5"/>
      <c r="S48" s="5">
        <v>1188436</v>
      </c>
      <c r="T48" s="5"/>
      <c r="U48" s="5"/>
      <c r="V48" s="5"/>
      <c r="W48" s="5"/>
      <c r="X48" s="5"/>
      <c r="Y48" s="5">
        <v>0</v>
      </c>
      <c r="Z48" s="5">
        <v>3546596</v>
      </c>
    </row>
    <row r="49" spans="1:26" x14ac:dyDescent="0.3">
      <c r="A49" s="4" t="s">
        <v>8</v>
      </c>
      <c r="B49" s="5">
        <v>1833260</v>
      </c>
      <c r="C49" s="5"/>
      <c r="D49" s="5">
        <v>144135</v>
      </c>
      <c r="E49" s="5"/>
      <c r="F49" s="5"/>
      <c r="G49" s="5"/>
      <c r="H49" s="5"/>
      <c r="I49" s="5">
        <v>4163988</v>
      </c>
      <c r="J49" s="5"/>
      <c r="K49" s="5">
        <v>0</v>
      </c>
      <c r="L49" s="5"/>
      <c r="M49" s="5">
        <v>0</v>
      </c>
      <c r="N49" s="5">
        <v>1889420</v>
      </c>
      <c r="O49" s="5"/>
      <c r="P49" s="5"/>
      <c r="Q49" s="5"/>
      <c r="R49" s="5"/>
      <c r="S49" s="5">
        <v>1144958</v>
      </c>
      <c r="T49" s="5"/>
      <c r="U49" s="5"/>
      <c r="V49" s="5"/>
      <c r="W49" s="5"/>
      <c r="X49" s="5"/>
      <c r="Y49" s="5"/>
      <c r="Z49" s="5">
        <v>9175761</v>
      </c>
    </row>
    <row r="50" spans="1:26" x14ac:dyDescent="0.3">
      <c r="A50" s="4" t="s">
        <v>40</v>
      </c>
      <c r="B50" s="5"/>
      <c r="C50" s="5">
        <v>0</v>
      </c>
      <c r="D50" s="5"/>
      <c r="E50" s="5"/>
      <c r="F50" s="5"/>
      <c r="G50" s="5"/>
      <c r="H50" s="5"/>
      <c r="I50" s="5">
        <v>1285050</v>
      </c>
      <c r="J50" s="5">
        <v>3315590</v>
      </c>
      <c r="K50" s="5"/>
      <c r="L50" s="5"/>
      <c r="M50" s="5"/>
      <c r="N50" s="5"/>
      <c r="O50" s="5">
        <v>637413</v>
      </c>
      <c r="P50" s="5"/>
      <c r="Q50" s="5"/>
      <c r="R50" s="5"/>
      <c r="S50" s="5"/>
      <c r="T50" s="5"/>
      <c r="U50" s="5"/>
      <c r="V50" s="5"/>
      <c r="W50" s="5">
        <v>0</v>
      </c>
      <c r="X50" s="5"/>
      <c r="Y50" s="5"/>
      <c r="Z50" s="5">
        <v>5238053</v>
      </c>
    </row>
    <row r="51" spans="1:26" x14ac:dyDescent="0.3">
      <c r="A51" s="4" t="s">
        <v>41</v>
      </c>
      <c r="B51" s="5"/>
      <c r="C51" s="5">
        <v>1145679</v>
      </c>
      <c r="D51" s="5">
        <v>0</v>
      </c>
      <c r="E51" s="5"/>
      <c r="F51" s="5"/>
      <c r="G51" s="5">
        <v>3582860</v>
      </c>
      <c r="H51" s="5"/>
      <c r="I51" s="5"/>
      <c r="J51" s="5"/>
      <c r="K51" s="5"/>
      <c r="L51" s="5"/>
      <c r="M51" s="5"/>
      <c r="N51" s="5"/>
      <c r="O51" s="5"/>
      <c r="P51" s="5"/>
      <c r="Q51" s="5">
        <v>0</v>
      </c>
      <c r="R51" s="5"/>
      <c r="S51" s="5"/>
      <c r="T51" s="5">
        <v>1215658</v>
      </c>
      <c r="U51" s="5"/>
      <c r="V51" s="5"/>
      <c r="W51" s="5">
        <v>0</v>
      </c>
      <c r="X51" s="5">
        <v>468251</v>
      </c>
      <c r="Y51" s="5"/>
      <c r="Z51" s="5">
        <v>6412448</v>
      </c>
    </row>
    <row r="52" spans="1:26" x14ac:dyDescent="0.3">
      <c r="A52" s="4" t="s">
        <v>37</v>
      </c>
      <c r="B52" s="5">
        <v>4347878</v>
      </c>
      <c r="C52" s="5"/>
      <c r="D52" s="5">
        <v>995082</v>
      </c>
      <c r="E52" s="5"/>
      <c r="F52" s="5"/>
      <c r="G52" s="5">
        <v>2479084</v>
      </c>
      <c r="H52" s="5">
        <v>0</v>
      </c>
      <c r="I52" s="5"/>
      <c r="J52" s="5"/>
      <c r="K52" s="5"/>
      <c r="L52" s="5"/>
      <c r="M52" s="5"/>
      <c r="N52" s="5"/>
      <c r="O52" s="5"/>
      <c r="P52" s="5"/>
      <c r="Q52" s="5">
        <v>750392</v>
      </c>
      <c r="R52" s="5"/>
      <c r="S52" s="5"/>
      <c r="T52" s="5"/>
      <c r="U52" s="5"/>
      <c r="V52" s="5"/>
      <c r="W52" s="5"/>
      <c r="X52" s="5"/>
      <c r="Y52" s="5"/>
      <c r="Z52" s="5">
        <v>8572436</v>
      </c>
    </row>
    <row r="53" spans="1:26" x14ac:dyDescent="0.3">
      <c r="A53" s="4" t="s">
        <v>10</v>
      </c>
      <c r="B53" s="5"/>
      <c r="C53" s="5"/>
      <c r="D53" s="5"/>
      <c r="E53" s="5"/>
      <c r="F53" s="5">
        <v>6873406</v>
      </c>
      <c r="G53" s="5"/>
      <c r="H53" s="5"/>
      <c r="I53" s="5"/>
      <c r="J53" s="5"/>
      <c r="K53" s="5">
        <v>0</v>
      </c>
      <c r="L53" s="5"/>
      <c r="M53" s="5"/>
      <c r="N53" s="5"/>
      <c r="O53" s="5"/>
      <c r="P53" s="5">
        <v>1242687</v>
      </c>
      <c r="Q53" s="5"/>
      <c r="R53" s="5">
        <v>0</v>
      </c>
      <c r="S53" s="5"/>
      <c r="T53" s="5"/>
      <c r="U53" s="5"/>
      <c r="V53" s="5"/>
      <c r="W53" s="5"/>
      <c r="X53" s="5"/>
      <c r="Y53" s="5"/>
      <c r="Z53" s="5">
        <v>8116093</v>
      </c>
    </row>
    <row r="54" spans="1:26" x14ac:dyDescent="0.3">
      <c r="A54" s="4" t="s">
        <v>11</v>
      </c>
      <c r="B54" s="5">
        <v>1111518</v>
      </c>
      <c r="C54" s="5"/>
      <c r="D54" s="5"/>
      <c r="E54" s="5"/>
      <c r="F54" s="5"/>
      <c r="G54" s="5"/>
      <c r="H54" s="5">
        <v>3307923</v>
      </c>
      <c r="I54" s="5"/>
      <c r="J54" s="5"/>
      <c r="K54" s="5"/>
      <c r="L54" s="5"/>
      <c r="M54" s="5">
        <v>236300</v>
      </c>
      <c r="N54" s="5"/>
      <c r="O54" s="5"/>
      <c r="P54" s="5">
        <v>384254</v>
      </c>
      <c r="Q54" s="5"/>
      <c r="R54" s="5"/>
      <c r="S54" s="5">
        <v>3759756</v>
      </c>
      <c r="T54" s="5"/>
      <c r="U54" s="5"/>
      <c r="V54" s="5"/>
      <c r="W54" s="5">
        <v>1686218</v>
      </c>
      <c r="X54" s="5"/>
      <c r="Y54" s="5"/>
      <c r="Z54" s="5">
        <v>10485969</v>
      </c>
    </row>
    <row r="55" spans="1:26" x14ac:dyDescent="0.3">
      <c r="A55" s="4" t="s">
        <v>12</v>
      </c>
      <c r="B55" s="5"/>
      <c r="C55" s="5"/>
      <c r="D55" s="5"/>
      <c r="E55" s="5"/>
      <c r="F55" s="5">
        <v>172902</v>
      </c>
      <c r="G55" s="5"/>
      <c r="H55" s="5">
        <v>1889420</v>
      </c>
      <c r="I55" s="5"/>
      <c r="J55" s="5"/>
      <c r="K55" s="5"/>
      <c r="L55" s="5"/>
      <c r="M55" s="5">
        <v>1720718</v>
      </c>
      <c r="N55" s="5"/>
      <c r="O55" s="5"/>
      <c r="P55" s="5"/>
      <c r="Q55" s="5">
        <v>953783</v>
      </c>
      <c r="R55" s="5">
        <v>3243415</v>
      </c>
      <c r="S55" s="5"/>
      <c r="T55" s="5"/>
      <c r="U55" s="5"/>
      <c r="V55" s="5"/>
      <c r="W55" s="5">
        <v>798821</v>
      </c>
      <c r="X55" s="5"/>
      <c r="Y55" s="5"/>
      <c r="Z55" s="5">
        <v>8779059</v>
      </c>
    </row>
    <row r="56" spans="1:26" x14ac:dyDescent="0.3">
      <c r="A56" s="4" t="s">
        <v>42</v>
      </c>
      <c r="B56" s="5"/>
      <c r="C56" s="5"/>
      <c r="D56" s="5"/>
      <c r="E56" s="5">
        <v>1147476</v>
      </c>
      <c r="F56" s="5"/>
      <c r="G56" s="5"/>
      <c r="H56" s="5">
        <v>0</v>
      </c>
      <c r="I56" s="5">
        <v>9850929</v>
      </c>
      <c r="J56" s="5"/>
      <c r="K56" s="5">
        <v>809761</v>
      </c>
      <c r="L56" s="5"/>
      <c r="M56" s="5"/>
      <c r="N56" s="5">
        <v>2094285</v>
      </c>
      <c r="O56" s="5"/>
      <c r="P56" s="5"/>
      <c r="Q56" s="5"/>
      <c r="R56" s="5">
        <v>134921</v>
      </c>
      <c r="S56" s="5"/>
      <c r="T56" s="5"/>
      <c r="U56" s="5"/>
      <c r="V56" s="5"/>
      <c r="W56" s="5"/>
      <c r="X56" s="5"/>
      <c r="Y56" s="5"/>
      <c r="Z56" s="5">
        <v>14037372</v>
      </c>
    </row>
    <row r="57" spans="1:26" x14ac:dyDescent="0.3">
      <c r="A57" s="4" t="s">
        <v>38</v>
      </c>
      <c r="B57" s="5"/>
      <c r="C57" s="5"/>
      <c r="D57" s="5"/>
      <c r="E57" s="5">
        <v>10310109</v>
      </c>
      <c r="F57" s="5"/>
      <c r="G57" s="5"/>
      <c r="H57" s="5">
        <v>0</v>
      </c>
      <c r="I57" s="5"/>
      <c r="J57" s="5"/>
      <c r="K57" s="5"/>
      <c r="L57" s="5"/>
      <c r="M57" s="5">
        <v>509379</v>
      </c>
      <c r="N57" s="5"/>
      <c r="O57" s="5"/>
      <c r="P57" s="5"/>
      <c r="Q57" s="5">
        <v>1349982</v>
      </c>
      <c r="R57" s="5">
        <v>318612</v>
      </c>
      <c r="S57" s="5">
        <v>400213</v>
      </c>
      <c r="T57" s="5"/>
      <c r="U57" s="5"/>
      <c r="V57" s="5"/>
      <c r="W57" s="5">
        <v>0</v>
      </c>
      <c r="X57" s="5"/>
      <c r="Y57" s="5"/>
      <c r="Z57" s="5">
        <v>12888295</v>
      </c>
    </row>
    <row r="58" spans="1:26" x14ac:dyDescent="0.3">
      <c r="A58" s="4" t="s">
        <v>39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663640</v>
      </c>
      <c r="Q58" s="5"/>
      <c r="R58" s="5">
        <v>0</v>
      </c>
      <c r="S58" s="5"/>
      <c r="T58" s="5"/>
      <c r="U58" s="5"/>
      <c r="V58" s="5"/>
      <c r="W58" s="5"/>
      <c r="X58" s="5"/>
      <c r="Y58" s="5"/>
      <c r="Z58" s="5">
        <v>663640</v>
      </c>
    </row>
    <row r="59" spans="1:26" x14ac:dyDescent="0.3">
      <c r="A59" s="2" t="s">
        <v>5</v>
      </c>
      <c r="B59" s="5">
        <v>20557847</v>
      </c>
      <c r="C59" s="5">
        <v>9512454</v>
      </c>
      <c r="D59" s="5">
        <v>9994134</v>
      </c>
      <c r="E59" s="5">
        <v>15805965</v>
      </c>
      <c r="F59" s="5">
        <v>9255722</v>
      </c>
      <c r="G59" s="5">
        <v>15689316</v>
      </c>
      <c r="H59" s="5">
        <v>9662119</v>
      </c>
      <c r="I59" s="5">
        <v>20507739</v>
      </c>
      <c r="J59" s="5">
        <v>18161698</v>
      </c>
      <c r="K59" s="5">
        <v>12687065</v>
      </c>
      <c r="L59" s="5">
        <v>6224894</v>
      </c>
      <c r="M59" s="5">
        <v>14803354</v>
      </c>
      <c r="N59" s="5">
        <v>6715030</v>
      </c>
      <c r="O59" s="5">
        <v>15859403</v>
      </c>
      <c r="P59" s="5">
        <v>10933656</v>
      </c>
      <c r="Q59" s="5">
        <v>15809551</v>
      </c>
      <c r="R59" s="5">
        <v>14422331</v>
      </c>
      <c r="S59" s="5">
        <v>15091802</v>
      </c>
      <c r="T59" s="5">
        <v>21868143</v>
      </c>
      <c r="U59" s="5">
        <v>5911699</v>
      </c>
      <c r="V59" s="5">
        <v>9134625</v>
      </c>
      <c r="W59" s="5">
        <v>8662160</v>
      </c>
      <c r="X59" s="5">
        <v>12696911</v>
      </c>
      <c r="Y59" s="5">
        <v>14090799</v>
      </c>
      <c r="Z59" s="5">
        <v>314058417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EDIRISINGHE L C it23659544</dc:creator>
  <cp:lastModifiedBy>EDIRISINGHE L C it23659544</cp:lastModifiedBy>
  <dcterms:created xsi:type="dcterms:W3CDTF">2026-04-02T17:02:56Z</dcterms:created>
  <dcterms:modified xsi:type="dcterms:W3CDTF">2026-04-02T19:50:25Z</dcterms:modified>
</cp:coreProperties>
</file>